
<file path=[Content_Types].xml><?xml version="1.0" encoding="utf-8"?>
<Types xmlns="http://schemas.openxmlformats.org/package/2006/content-types">
  <Default Extension="png" ContentType="image/png"/>
  <Default Extension="svg" ContentType="image/svg"/>
  <Default Extension="rels" ContentType="application/vnd.openxmlformats-package.relationships+xml"/>
  <Default Extension="xml" ContentType="application/xml"/>
  <Override PartName="/xl/workbook.xml" ContentType="application/vnd.openxmlformats-officedocument.spreadsheetml.sheet.main+xml"/>
  <Override PartName="/xl/worksheets/sheet15.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6.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Default Extension="vml" ContentType="application/vnd.openxmlformats-officedocument.vmlDrawing"/>
  <Override PartName="/xl/comments1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0240" windowHeight="17360" activeTab="3"/>
  </bookViews>
  <sheets>
    <sheet sheetId="15" name="Variable Reference" state="visible" r:id="rId4"/>
    <sheet sheetId="4" name="Main_Input" state="visible" r:id="rId5"/>
    <sheet sheetId="5" name="Airfoil_Data" state="visible" r:id="rId6"/>
    <sheet sheetId="16" name="Component_Data" state="visible" r:id="rId7"/>
    <sheet sheetId="13" name="Propulsion" state="visible" r:id="rId8"/>
    <sheet sheetId="14" name="Lists" state="visible" r:id="rId9"/>
    <sheet sheetId="2" name="Geometry Reference" state="visible" r:id="rId10"/>
  </sheets>
  <calcPr calcId="171027"/>
</workbook>
</file>

<file path=xl/comments13.xml><?xml version="1.0" encoding="utf-8"?>
<comments xmlns="http://schemas.openxmlformats.org/spreadsheetml/2006/main">
  <authors>
    <author>Author</author>
  </authors>
  <commentList>
    <comment ref="D1" authorId="0">
      <text>
        <r>
          <rPr>
            <b/>
            <color rgb="FF000000"/>
            <family val="2"/>
            <sz val="9"/>
            <rFont val="Tahoma"/>
          </rPr>
          <t>John Mah:</t>
        </r>
        <r>
          <rPr>
            <color rgb="FF000000"/>
            <family val="2"/>
            <sz val="9"/>
            <rFont val="Tahoma"/>
          </rPr>
          <t xml:space="preserve">
</t>
        </r>
        <r>
          <rPr>
            <color rgb="FF000000"/>
            <family val="2"/>
            <sz val="9"/>
            <rFont val="Tahoma"/>
          </rPr>
          <t xml:space="preserve">Units:  lbf
</t>
        </r>
        <r>
          <rPr>
            <color rgb="FF000000"/>
            <family val="2"/>
            <sz val="9"/>
            <rFont val="Tahoma"/>
          </rPr>
          <t>Only input values if jet engine, otherwise input "0"</t>
        </r>
      </text>
    </comment>
    <comment ref="E1" authorId="0">
      <text>
        <r>
          <rPr>
            <b/>
            <color rgb="FF000000"/>
            <family val="2"/>
            <sz val="9"/>
            <rFont val="Tahoma"/>
          </rPr>
          <t>John Mah:</t>
        </r>
        <r>
          <rPr>
            <color rgb="FF000000"/>
            <family val="2"/>
            <sz val="9"/>
            <rFont val="Tahoma"/>
          </rPr>
          <t xml:space="preserve">
</t>
        </r>
        <r>
          <rPr>
            <color rgb="FF000000"/>
            <family val="2"/>
            <sz val="9"/>
            <rFont val="Tahoma"/>
          </rPr>
          <t xml:space="preserve">Units:  (lb/hr/lb)
</t>
        </r>
        <r>
          <rPr>
            <color rgb="FF000000"/>
            <family val="2"/>
            <sz val="9"/>
            <rFont val="Tahoma"/>
          </rPr>
          <t>Only input values if jet engine, otherwise input "0"</t>
        </r>
      </text>
    </comment>
    <comment ref="F1" authorId="0">
      <text>
        <r>
          <rPr>
            <b/>
            <color indexed="81"/>
            <family val="2"/>
            <sz val="9"/>
            <rFont val="Tahoma"/>
          </rPr>
          <t>John Mah:</t>
        </r>
        <r>
          <rPr>
            <color indexed="81"/>
            <family val="2"/>
            <sz val="9"/>
            <rFont val="Tahoma"/>
          </rPr>
          <t xml:space="preserve">
Units:  lbf
Only input values if jet engine, otherwise input "0"</t>
        </r>
      </text>
    </comment>
    <comment ref="G1" authorId="0">
      <text>
        <r>
          <rPr>
            <b/>
            <color rgb="FF000000"/>
            <family val="2"/>
            <sz val="9"/>
            <rFont val="Tahoma"/>
          </rPr>
          <t>John Mah:</t>
        </r>
        <r>
          <rPr>
            <color rgb="FF000000"/>
            <family val="2"/>
            <sz val="9"/>
            <rFont val="Tahoma"/>
          </rPr>
          <t xml:space="preserve">
</t>
        </r>
        <r>
          <rPr>
            <color rgb="FF000000"/>
            <family val="2"/>
            <sz val="9"/>
            <rFont val="Tahoma"/>
          </rPr>
          <t xml:space="preserve">Units:  (lb/hr/lb)
</t>
        </r>
        <r>
          <rPr>
            <color rgb="FF000000"/>
            <family val="2"/>
            <sz val="9"/>
            <rFont val="Tahoma"/>
          </rPr>
          <t>Only input values if jet engine, otherwise input "0"</t>
        </r>
      </text>
    </comment>
    <comment ref="H1" authorId="0">
      <text>
        <r>
          <rPr>
            <b/>
            <color rgb="FF000000"/>
            <family val="2"/>
            <sz val="9"/>
            <rFont val="Tahoma"/>
          </rPr>
          <t>John Mah:</t>
        </r>
        <r>
          <rPr>
            <color rgb="FF000000"/>
            <family val="2"/>
            <sz val="9"/>
            <rFont val="Tahoma"/>
          </rPr>
          <t xml:space="preserve">
</t>
        </r>
        <r>
          <rPr>
            <color rgb="FF000000"/>
            <family val="2"/>
            <sz val="9"/>
            <rFont val="Tahoma"/>
          </rPr>
          <t>Value from 0 to 1 representing percent loss (i.e. 20% = 0.2)</t>
        </r>
      </text>
    </comment>
    <comment ref="I1" authorId="0">
      <text>
        <r>
          <rPr>
            <b/>
            <color rgb="FF000000"/>
            <family val="2"/>
            <sz val="9"/>
            <rFont val="Tahoma"/>
          </rPr>
          <t xml:space="preserve">John Mah:
</t>
        </r>
        <r>
          <rPr>
            <color rgb="FF000000"/>
            <family val="2"/>
            <sz val="9"/>
            <rFont val="Tahoma"/>
          </rPr>
          <t xml:space="preserve">Units: horsepower (hp)
</t>
        </r>
        <r>
          <rPr>
            <color rgb="FF000000"/>
            <family val="2"/>
            <sz val="9"/>
            <rFont val="Tahoma"/>
          </rPr>
          <t xml:space="preserve">Only input if prop, otherwise set to "0"
</t>
        </r>
      </text>
    </comment>
    <comment ref="J1" authorId="0">
      <text>
        <r>
          <rPr>
            <b/>
            <color rgb="FF000000"/>
            <family val="2"/>
            <sz val="9"/>
            <rFont val="Tahoma"/>
          </rPr>
          <t>John Mah:</t>
        </r>
        <r>
          <rPr>
            <color rgb="FF000000"/>
            <family val="2"/>
            <sz val="9"/>
            <rFont val="Tahoma"/>
          </rPr>
          <t xml:space="preserve">
</t>
        </r>
        <r>
          <rPr>
            <color rgb="FF000000"/>
            <family val="2"/>
            <sz val="9"/>
            <rFont val="Tahoma"/>
          </rPr>
          <t xml:space="preserve">Units of lb/hr/hp
</t>
        </r>
        <r>
          <rPr>
            <color rgb="FF000000"/>
            <family val="2"/>
            <sz val="9"/>
            <rFont val="Tahoma"/>
          </rPr>
          <t xml:space="preserve">
</t>
        </r>
      </text>
    </comment>
    <comment ref="K1" authorId="0">
      <text>
        <r>
          <rPr>
            <b/>
            <color rgb="FF000000"/>
            <family val="2"/>
            <sz val="9"/>
            <rFont val="Tahoma"/>
          </rPr>
          <t>John Mah:</t>
        </r>
        <r>
          <rPr>
            <color rgb="FF000000"/>
            <family val="2"/>
            <sz val="9"/>
            <rFont val="Tahoma"/>
          </rPr>
          <t xml:space="preserve">
</t>
        </r>
        <r>
          <rPr>
            <color rgb="FF000000"/>
            <family val="2"/>
            <sz val="9"/>
            <rFont val="Tahoma"/>
          </rPr>
          <t>Value from 0 to 1 representing percent propeller efficiency (i.e. 70% = 0.7)</t>
        </r>
      </text>
    </comment>
  </commentList>
</comments>
</file>

<file path=xl/sharedStrings.xml><?xml version="1.0" encoding="utf-8"?>
<sst xmlns="http://schemas.openxmlformats.org/spreadsheetml/2006/main" count="558" uniqueCount="291">
  <si>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</si>
  <si>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</si>
  <si>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</si>
  <si>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</si>
  <si>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</si>
  <si>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</si>
  <si>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</si>
  <si>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</si>
  <si>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</si>
  <si>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</si>
  <si>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</si>
  <si>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</si>
  <si>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</si>
  <si>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</si>
  <si>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</si>
  <si>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</si>
  <si>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</si>
  <si>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</si>
  <si>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</si>
  <si>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</si>
  <si>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</si>
  <si>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</si>
  <si>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</si>
  <si>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</si>
  <si>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</si>
  <si>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</si>
  <si>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</si>
  <si>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</si>
  <si>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</si>
  <si>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</si>
  <si>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</si>
  <si>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</si>
  <si>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</si>
  <si>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</si>
  <si>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</si>
  <si>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</si>
  <si>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</si>
  <si>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</si>
  <si>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</si>
  <si>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</si>
  <si>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</si>
  <si>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</si>
  <si>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</si>
  <si>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</si>
  <si>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</si>
  <si>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</si>
  <si>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</si>
  <si>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</si>
  <si>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</si>
  <si>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</si>
  <si>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</si>
  <si>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</si>
  <si>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</si>
  <si>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</si>
  <si>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</si>
  <si>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</si>
  <si>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</si>
  <si>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</si>
  <si>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</si>
  <si>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</si>
  <si>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</si>
  <si>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</si>
  <si>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</si>
  <si>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</si>
  <si>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</si>
  <si>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</si>
  <si>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</si>
  <si>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</si>
  <si>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</si>
  <si>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</si>
  <si>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</si>
  <si>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</si>
  <si>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</si>
  <si>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</si>
  <si>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</si>
  <si>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</si>
  <si>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</si>
  <si>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</si>
  <si>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</si>
  <si>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</si>
  <si>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</si>
  <si>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</si>
  <si>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</si>
  <si>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</si>
  <si>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</si>
  <si>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</si>
  <si>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</si>
  <si>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</si>
  <si>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</si>
  <si>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</si>
  <si>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</si>
  <si>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</si>
  <si>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</si>
  <si>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</si>
  <si>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</si>
  <si>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</si>
  <si>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</si>
  <si>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</si>
  <si>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</si>
  <si>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</si>
  <si>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</si>
  <si>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</si>
  <si>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</si>
  <si>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</si>
  <si>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</si>
  <si>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</si>
  <si>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</si>
  <si>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</si>
  <si>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</si>
  <si>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</si>
  <si>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</si>
  <si>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</si>
  <si>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</si>
  <si>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</si>
  <si>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</si>
  <si>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</si>
  <si>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</si>
  <si>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</si>
  <si>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</si>
  <si>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</si>
  <si>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</si>
  <si>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</si>
  <si>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</si>
  <si>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</si>
  <si>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</si>
  <si>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</si>
  <si>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</si>
  <si>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</si>
  <si>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</si>
  <si>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</si>
  <si>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</si>
  <si>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</si>
  <si>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</si>
  <si>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</si>
  <si>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</si>
  <si>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</si>
  <si>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</si>
  <si>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</si>
  <si>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</si>
  <si>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</si>
  <si>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</si>
  <si>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</si>
  <si>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</si>
  <si>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</si>
  <si>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</si>
  <si>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</si>
  <si>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</si>
  <si>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</si>
  <si>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</si>
  <si>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</si>
  <si>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</si>
  <si>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</si>
  <si>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</si>
  <si>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</si>
  <si>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</si>
  <si>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</si>
  <si>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</si>
  <si>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</si>
  <si>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</si>
  <si>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</si>
  <si>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</si>
  <si>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</si>
  <si>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</si>
  <si>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</si>
  <si>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</si>
  <si>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</si>
  <si>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</si>
  <si>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</si>
  <si>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</si>
  <si>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</si>
  <si>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</si>
  <si>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</si>
  <si>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</si>
  <si>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</si>
  <si>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</si>
  <si>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</si>
  <si>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</si>
  <si>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</si>
  <si>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</si>
  <si>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</si>
  <si>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</si>
  <si>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</si>
  <si>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</si>
  <si>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</si>
  <si>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</si>
  <si>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</si>
  <si>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</si>
  <si>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</si>
  <si>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</si>
  <si>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</si>
  <si>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</si>
  <si>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</si>
  <si>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</si>
  <si>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</si>
  <si>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</si>
  <si>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</si>
  <si>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</si>
  <si>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</si>
  <si>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</si>
  <si>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</si>
  <si>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</si>
  <si>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</si>
  <si>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</si>
  <si>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</si>
  <si>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</si>
  <si>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</si>
  <si>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</si>
  <si>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</si>
  <si>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</si>
  <si>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</si>
  <si>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</si>
  <si>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</si>
  <si>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</si>
  <si>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</si>
  <si>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NACA2412</t>
  </si>
  <si>
    <t>NACA0004</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</si>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</sst>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
  </numFmts>
  <fonts count="4" x14ac:knownFonts="1">
    <font>
      <color theme="1"/>
      <family val="2"/>
      <scheme val="minor"/>
      <sz val="11"/>
      <name val="Calibri"/>
    </font>
    <font>
      <b/>
      <color theme="1"/>
      <family val="2"/>
      <scheme val="minor"/>
      <sz val="11"/>
      <name val="Calibri"/>
    </font>
    <font>
      <color theme="1"/>
      <family val="2"/>
      <sz val="10"/>
      <name val="Arial Unicode MS"/>
    </font>
    <font>
      <color rgb="FF000000"/>
      <family val="2"/>
      <scheme val="minor"/>
      <sz val="11"/>
      <name val="Calibri"/>
    </font>
  </fonts>
  <fills count="14">
    <fill>
      <patternFill patternType="none"/>
    </fill>
    <fill>
      <patternFill patternType="gray125"/>
    </fill>
    <fill>
      <patternFill patternType="solid">
        <fgColor theme="8" tint="0.3999755851924192"/>
        <bgColor indexed="64"/>
      </patternFill>
    </fill>
    <fill>
      <patternFill patternType="solid">
        <fgColor theme="1"/>
        <bgColor indexed="64"/>
      </patternFill>
    </fill>
    <fill>
      <patternFill patternType="solid">
        <fgColor theme="3" tint="0.7999816888943144"/>
        <bgColor indexed="64"/>
      </patternFill>
    </fill>
    <fill>
      <patternFill patternType="solid">
        <fgColor theme="4" tint="0.3999755851924192"/>
        <bgColor indexed="64"/>
      </patternFill>
    </fill>
    <fill>
      <patternFill patternType="solid">
        <fgColor theme="5" tint="0.7999816888943144"/>
        <bgColor indexed="64"/>
      </patternFill>
    </fill>
    <fill>
      <patternFill patternType="solid">
        <fgColor theme="7" tint="0.5999938962981048"/>
        <bgColor indexed="64"/>
      </patternFill>
    </fill>
    <fill>
      <patternFill patternType="solid">
        <fgColor theme="5" tint="0.3999755851924192"/>
        <bgColor indexed="64"/>
      </patternFill>
    </fill>
    <fill>
      <patternFill patternType="solid">
        <fgColor theme="9" tint="0.5999938962981048"/>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1" xfId="0" applyFont="1" applyBorder="1" applyAlignment="1">
      <alignment horizontal="left" vertical="center"/>
    </xf>
    <xf numFmtId="164" fontId="0" fillId="0" borderId="1" xfId="0" applyNumberFormat="1" applyBorder="1" applyAlignment="1">
      <alignment horizontal="center" vertical="center"/>
    </xf>
    <xf numFmtId="0" fontId="3"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5.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16.xml"/><Relationship Id="rId8" Type="http://schemas.openxmlformats.org/officeDocument/2006/relationships/worksheet" Target="worksheets/sheet13.xml"/><Relationship Id="rId9" Type="http://schemas.openxmlformats.org/officeDocument/2006/relationships/worksheet" Target="worksheets/sheet14.xml"/><Relationship Id="rId10"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PropType" displayName="PropType" ref="A1:A7" totalsRowShown="1" headerRowCount="0">
  <autoFilter ref="A1:A7">
    <filterColumn colId="0" hiddenButton="1"/>
  </autoFilter>
  <tableColumns count="1">
    <tableColumn id="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pType3" displayName="PropType3" ref="B1:B19" totalsRowShown="1" headerRowCount="0">
  <autoFilter ref="B1:B19">
    <filterColumn colId="0" hiddenButton="1"/>
  </autoFilter>
  <tableColumns count="1">
    <tableColumn id="1"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s>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selection activeCell="U1" sqref="U1"/>
    </sheetView>
  </sheetViews>
  <sheetFormatPr defaultRowHeight="15" outlineLevelRow="0" outlineLevelCol="0" x14ac:dyDescent="0.2" defaultColWidth="8.832031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3"/>
  <sheetViews>
    <sheetView workbookViewId="0" zoomScale="166" zoomScaleNormal="100">
      <selection activeCell="A2" sqref="A2"/>
    </sheetView>
  </sheetViews>
  <sheetFormatPr defaultRowHeight="15" outlineLevelRow="0" outlineLevelCol="0" x14ac:dyDescent="0.2" defaultColWidth="8.83203125"/>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16384" width="8.83203125" style="7" customWidth="1"/>
  </cols>
  <sheetData>
    <row r="1" spans="1:48" x14ac:dyDescent="0.25">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5">
      <c r="A2" s="7" t="s">
        <v>175</v>
      </c>
      <c r="B2" s="7" t="s">
        <v>176</v>
      </c>
      <c r="C2" s="7">
        <v>0</v>
      </c>
      <c r="D2" s="7">
        <v>0.18</v>
      </c>
      <c r="E2" s="7">
        <v>0.3</v>
      </c>
      <c r="F2" s="7">
        <v>27</v>
      </c>
      <c r="G2" s="7">
        <v>4</v>
      </c>
      <c r="H2" s="7">
        <f t="shared" ref="H2:H3" si="0">F2/G2</f>
        <v>6.75</v>
      </c>
      <c r="I2" s="7">
        <v>12.56</v>
      </c>
      <c r="J2" s="7">
        <v>0</v>
      </c>
      <c r="K2" s="7">
        <v>280</v>
      </c>
      <c r="L2" s="7">
        <v>1</v>
      </c>
      <c r="M2" s="7">
        <v>1</v>
      </c>
      <c r="N2" s="7">
        <v>174</v>
      </c>
      <c r="O2" s="7">
        <v>380</v>
      </c>
      <c r="P2" s="7">
        <v>7.32</v>
      </c>
      <c r="Q2" s="7">
        <v>0.672</v>
      </c>
      <c r="R2" s="7">
        <v>0</v>
      </c>
      <c r="S2" s="7">
        <v>0</v>
      </c>
      <c r="T2" s="7">
        <v>1.1</v>
      </c>
      <c r="U2" s="7">
        <v>36.6</v>
      </c>
      <c r="V2" s="7">
        <v>80</v>
      </c>
      <c r="W2" s="7">
        <v>3.5</v>
      </c>
      <c r="X2" s="7">
        <v>0.57</v>
      </c>
      <c r="Y2" s="7">
        <v>0</v>
      </c>
      <c r="Z2" s="7">
        <v>3.61</v>
      </c>
      <c r="AA2" s="7">
        <v>1.1</v>
      </c>
      <c r="AB2" s="7">
        <v>0</v>
      </c>
      <c r="AC2" s="7">
        <v>0</v>
      </c>
      <c r="AD2" s="7">
        <v>0</v>
      </c>
      <c r="AE2" s="7">
        <v>0</v>
      </c>
      <c r="AF2" s="7">
        <v>0</v>
      </c>
      <c r="AG2" s="7">
        <v>0</v>
      </c>
      <c r="AH2" s="7">
        <v>0</v>
      </c>
      <c r="AI2" s="7">
        <v>11.2</v>
      </c>
      <c r="AJ2" s="7">
        <v>25</v>
      </c>
      <c r="AK2" s="7">
        <v>1.6</v>
      </c>
      <c r="AL2" s="7">
        <v>0.4</v>
      </c>
      <c r="AM2" s="7">
        <v>0</v>
      </c>
      <c r="AN2" s="7">
        <v>4</v>
      </c>
      <c r="AO2" s="7">
        <v>1.1</v>
      </c>
      <c r="AP2" s="7">
        <v>0</v>
      </c>
      <c r="AQ2" s="7">
        <v>0</v>
      </c>
      <c r="AR2" s="7">
        <v>0</v>
      </c>
      <c r="AS2" s="7">
        <v>0</v>
      </c>
      <c r="AT2" s="7">
        <v>0</v>
      </c>
      <c r="AU2" s="7">
        <v>0</v>
      </c>
      <c r="AV2" s="7">
        <v>0</v>
      </c>
    </row>
    <row r="3" spans="1:48" x14ac:dyDescent="0.25">
      <c r="A3" t="s">
        <v>177</v>
      </c>
      <c r="B3" s="7" t="s">
        <v>176</v>
      </c>
      <c r="C3" s="7">
        <v>0</v>
      </c>
      <c r="D3" s="7">
        <v>0.0473</v>
      </c>
      <c r="E3" s="7">
        <v>0.2081</v>
      </c>
      <c r="F3" s="7">
        <v>3.947</v>
      </c>
      <c r="G3" s="7">
        <v>0.492</v>
      </c>
      <c r="H3" s="7">
        <f t="shared" si="0"/>
        <v>8.022357723577237</v>
      </c>
      <c r="I3" s="7">
        <f>PI()*(G3/2)^2</f>
        <v>0.19011662102463991</v>
      </c>
      <c r="J3" s="7">
        <v>0</v>
      </c>
      <c r="K3" s="7">
        <f>F3*G3</f>
        <v>1.941924</v>
      </c>
      <c r="L3" s="7">
        <v>1.1</v>
      </c>
      <c r="M3" s="7">
        <v>2</v>
      </c>
      <c r="N3" s="7">
        <v>10.7639</v>
      </c>
      <c r="O3" s="7">
        <f>2*N3</f>
        <v>21.5278</v>
      </c>
      <c r="P3" s="7">
        <v>4.76</v>
      </c>
      <c r="Q3" s="7">
        <v>0</v>
      </c>
      <c r="R3" s="7">
        <v>0</v>
      </c>
      <c r="S3" s="7">
        <v>0</v>
      </c>
      <c r="T3" s="7">
        <v>1.4</v>
      </c>
      <c r="U3" s="7">
        <v>6.727</v>
      </c>
      <c r="V3" s="7">
        <f>U3*2</f>
        <v>13.454</v>
      </c>
      <c r="W3" s="7">
        <v>3</v>
      </c>
      <c r="X3" s="7">
        <v>0</v>
      </c>
      <c r="Y3" s="7">
        <v>0</v>
      </c>
      <c r="Z3" s="7">
        <v>1.498</v>
      </c>
      <c r="AA3" s="7">
        <v>1.4</v>
      </c>
      <c r="AB3" s="7">
        <v>0</v>
      </c>
      <c r="AC3" s="7">
        <v>0</v>
      </c>
      <c r="AD3" s="7">
        <v>0</v>
      </c>
      <c r="AE3" s="7">
        <v>0</v>
      </c>
      <c r="AF3" s="7">
        <v>0</v>
      </c>
      <c r="AG3" s="7">
        <v>0</v>
      </c>
      <c r="AH3" s="7">
        <v>0</v>
      </c>
      <c r="AI3" s="7">
        <v>1.4962</v>
      </c>
      <c r="AJ3" s="7">
        <f>2*AI3</f>
        <v>2.9924</v>
      </c>
      <c r="AK3" s="7">
        <v>1.6</v>
      </c>
      <c r="AL3" s="7">
        <v>0.4</v>
      </c>
      <c r="AM3" s="7">
        <v>0</v>
      </c>
      <c r="AN3" s="7">
        <v>0.3714</v>
      </c>
      <c r="AO3" s="7">
        <v>1.1</v>
      </c>
      <c r="AP3" s="7">
        <v>0</v>
      </c>
      <c r="AQ3" s="7">
        <v>0</v>
      </c>
      <c r="AR3" s="7">
        <v>0</v>
      </c>
      <c r="AS3" s="7">
        <v>0</v>
      </c>
      <c r="AT3" s="7">
        <v>0</v>
      </c>
      <c r="AU3" s="7">
        <v>0</v>
      </c>
      <c r="AV3" s="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B3"/>
  <sheetViews>
    <sheetView workbookViewId="0" zoomScale="100" zoomScaleNormal="100">
      <selection activeCell="A5" sqref="A5"/>
    </sheetView>
  </sheetViews>
  <sheetFormatPr defaultRowHeight="15" outlineLevelRow="0" outlineLevelCol="0" x14ac:dyDescent="0.2" defaultColWidth="8.83203125"/>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16384" width="8.83203125" style="20" customWidth="1"/>
  </cols>
  <sheetData>
    <row r="1" spans="1:54" x14ac:dyDescent="0.25">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ht="16" customHeight="1" spans="1:54" x14ac:dyDescent="0.25">
      <c r="A2" s="20" t="str">
        <f>Main_Input!A2</f>
        <v>Electric</v>
      </c>
      <c r="B2" s="20" t="s">
        <v>214</v>
      </c>
      <c r="C2" s="20">
        <v>0.12</v>
      </c>
      <c r="D2" s="20">
        <v>0.3</v>
      </c>
      <c r="E2" s="6">
        <f>-0.483</f>
        <v>-0.483</v>
      </c>
      <c r="F2" s="22">
        <f>-0.3983</f>
        <v>-0.3983</v>
      </c>
      <c r="G2" s="22">
        <f>-0.3108</f>
        <v>-0.3108</v>
      </c>
      <c r="H2" s="22">
        <v>-0.2485</v>
      </c>
      <c r="I2" s="22">
        <v>-0.1244</v>
      </c>
      <c r="J2" s="20">
        <v>-0.0589</v>
      </c>
      <c r="K2" s="22">
        <v>0.1375</v>
      </c>
      <c r="L2" s="22">
        <v>0.3025</v>
      </c>
      <c r="M2" s="22">
        <v>0.4528</v>
      </c>
      <c r="N2" s="22">
        <v>0.599</v>
      </c>
      <c r="O2" s="22">
        <v>0.7429</v>
      </c>
      <c r="P2" s="22">
        <v>0.8567</v>
      </c>
      <c r="Q2" s="22">
        <v>0.9598</v>
      </c>
      <c r="R2" s="20">
        <v>1.0252</v>
      </c>
      <c r="S2" s="20">
        <v>1.0969</v>
      </c>
      <c r="T2" s="22">
        <v>1.1591</v>
      </c>
      <c r="U2" s="22">
        <v>1.1391</v>
      </c>
      <c r="V2" s="20">
        <v>1.001</v>
      </c>
      <c r="W2" s="20">
        <f>1.1591</f>
        <v>1.1591</v>
      </c>
      <c r="X2" s="22">
        <v>0.0314</v>
      </c>
      <c r="Y2" s="22">
        <v>0.02669</v>
      </c>
      <c r="Z2" s="22">
        <v>0.02669</v>
      </c>
      <c r="AA2" s="22">
        <v>0.02133</v>
      </c>
      <c r="AB2" s="22">
        <v>0.02191</v>
      </c>
      <c r="AC2" s="22">
        <v>0.02406</v>
      </c>
      <c r="AD2" s="22">
        <v>0.0281</v>
      </c>
      <c r="AE2" s="22">
        <v>0.03099</v>
      </c>
      <c r="AF2" s="22">
        <v>0.03304</v>
      </c>
      <c r="AG2" s="22">
        <v>0.03375</v>
      </c>
      <c r="AH2" s="22">
        <v>0.03256</v>
      </c>
      <c r="AI2" s="22">
        <v>0.03159</v>
      </c>
      <c r="AJ2" s="22">
        <v>0.03027</v>
      </c>
      <c r="AK2" s="23">
        <v>0.03245</v>
      </c>
      <c r="AL2" s="23">
        <v>0.039795</v>
      </c>
      <c r="AM2" s="22">
        <v>0.04997</v>
      </c>
      <c r="AN2" s="22">
        <v>0.0651</v>
      </c>
      <c r="AO2" s="23">
        <v>0.09201</v>
      </c>
      <c r="AP2" s="22">
        <v>0.02133</v>
      </c>
      <c r="AQ2" s="20" t="s">
        <v>215</v>
      </c>
      <c r="AR2" s="20">
        <v>0.04</v>
      </c>
      <c r="AS2" s="20">
        <v>0.3</v>
      </c>
      <c r="AT2" s="20">
        <v>0</v>
      </c>
      <c r="AU2" s="20">
        <v>0</v>
      </c>
      <c r="AV2" s="20">
        <v>0</v>
      </c>
      <c r="AW2" s="20" t="s">
        <v>215</v>
      </c>
      <c r="AX2" s="20">
        <v>0.04</v>
      </c>
      <c r="AY2" s="20">
        <v>0.3</v>
      </c>
      <c r="AZ2" s="20">
        <v>0</v>
      </c>
      <c r="BA2" s="20">
        <v>0</v>
      </c>
      <c r="BB2" s="20">
        <v>0</v>
      </c>
    </row>
    <row r="3" spans="1:54" x14ac:dyDescent="0.25">
      <c r="A3" t="s">
        <v>177</v>
      </c>
      <c r="B3" s="20" t="s">
        <v>216</v>
      </c>
      <c r="C3" s="20">
        <v>0.14</v>
      </c>
      <c r="D3" s="20">
        <v>0.255</v>
      </c>
      <c r="E3" s="20">
        <v>-0.1431</v>
      </c>
      <c r="F3" s="20">
        <v>-0.005</v>
      </c>
      <c r="G3" s="20">
        <v>0.1073</v>
      </c>
      <c r="H3" s="20">
        <v>0.2055</v>
      </c>
      <c r="I3" s="20">
        <v>0.2936</v>
      </c>
      <c r="J3" s="20">
        <v>0.4413</v>
      </c>
      <c r="K3" s="20">
        <v>0.5539</v>
      </c>
      <c r="L3" s="20">
        <v>0.6593</v>
      </c>
      <c r="M3" s="20">
        <v>0.7627</v>
      </c>
      <c r="N3" s="20">
        <v>0.8685</v>
      </c>
      <c r="O3" s="20">
        <v>0.9703</v>
      </c>
      <c r="P3" s="20">
        <v>1.0701</v>
      </c>
      <c r="Q3" s="20">
        <v>1.1707</v>
      </c>
      <c r="R3" s="20">
        <v>1.2575</v>
      </c>
      <c r="S3" s="20">
        <v>1.3427</v>
      </c>
      <c r="T3" s="20">
        <v>1.4209</v>
      </c>
      <c r="U3" s="20">
        <v>1.4867</v>
      </c>
      <c r="V3" s="20">
        <v>1.5385</v>
      </c>
      <c r="W3" s="20">
        <v>1.5978</v>
      </c>
      <c r="X3" s="20">
        <v>0.03032</v>
      </c>
      <c r="Y3" s="20">
        <v>0.02435</v>
      </c>
      <c r="Z3" s="20">
        <v>0.0199</v>
      </c>
      <c r="AA3" s="20">
        <v>0.01879</v>
      </c>
      <c r="AB3" s="20">
        <v>0.01843</v>
      </c>
      <c r="AC3" s="20">
        <v>0.01765</v>
      </c>
      <c r="AD3" s="20">
        <v>0.01792</v>
      </c>
      <c r="AE3" s="20">
        <v>0.0184</v>
      </c>
      <c r="AF3" s="20">
        <v>0.01929</v>
      </c>
      <c r="AG3" s="20">
        <v>0.02018</v>
      </c>
      <c r="AH3" s="20">
        <v>0.02147</v>
      </c>
      <c r="AI3" s="20">
        <v>0.02292</v>
      </c>
      <c r="AJ3" s="20">
        <v>0.02458</v>
      </c>
      <c r="AK3" s="20">
        <v>0.02685</v>
      </c>
      <c r="AL3" s="20">
        <v>0.02931</v>
      </c>
      <c r="AM3" s="20">
        <v>0.03219</v>
      </c>
      <c r="AN3" s="20">
        <v>0.03567</v>
      </c>
      <c r="AO3" s="20">
        <v>0.03981</v>
      </c>
      <c r="AP3" s="20">
        <v>0.01752</v>
      </c>
      <c r="AQ3" s="20" t="s">
        <v>217</v>
      </c>
      <c r="AR3" s="20">
        <v>0.21</v>
      </c>
      <c r="AS3" s="20">
        <v>0.3</v>
      </c>
      <c r="AT3" s="20">
        <v>0</v>
      </c>
      <c r="AU3" s="20">
        <v>0</v>
      </c>
      <c r="AV3" s="20">
        <v>0</v>
      </c>
      <c r="AW3" s="20" t="s">
        <v>218</v>
      </c>
      <c r="AX3" s="20">
        <v>0.1</v>
      </c>
      <c r="AY3" s="20">
        <v>0.3</v>
      </c>
      <c r="AZ3" s="20">
        <v>0</v>
      </c>
      <c r="BA3" s="20">
        <v>0</v>
      </c>
      <c r="BB3" s="20">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
  <sheetViews>
    <sheetView workbookViewId="0" zoomScale="164" zoomScaleNormal="100">
      <selection activeCell="B7" sqref="B7"/>
    </sheetView>
  </sheetViews>
  <sheetFormatPr defaultRowHeight="15" outlineLevelRow="0" outlineLevelCol="0" x14ac:dyDescent="0.2" defaultColWidth="8.83203125"/>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5">
      <c r="A1" s="25" t="s">
        <v>103</v>
      </c>
      <c r="B1" s="25" t="s">
        <v>144</v>
      </c>
      <c r="C1" s="25" t="s">
        <v>146</v>
      </c>
      <c r="D1" s="26" t="s">
        <v>148</v>
      </c>
      <c r="E1" s="26" t="s">
        <v>151</v>
      </c>
      <c r="F1" s="26" t="s">
        <v>154</v>
      </c>
      <c r="G1" s="26" t="s">
        <v>156</v>
      </c>
      <c r="H1" s="26" t="s">
        <v>158</v>
      </c>
      <c r="I1" s="27" t="s">
        <v>160</v>
      </c>
      <c r="J1" s="27" t="s">
        <v>163</v>
      </c>
      <c r="K1" s="27" t="s">
        <v>166</v>
      </c>
      <c r="L1" s="27" t="s">
        <v>260</v>
      </c>
      <c r="M1" s="28" t="s">
        <v>261</v>
      </c>
      <c r="N1" s="28" t="s">
        <v>262</v>
      </c>
      <c r="O1" s="28" t="s">
        <v>263</v>
      </c>
      <c r="P1" s="28" t="s">
        <v>264</v>
      </c>
      <c r="Q1" s="28" t="s">
        <v>265</v>
      </c>
      <c r="R1" s="28" t="s">
        <v>266</v>
      </c>
    </row>
    <row r="2" spans="1:18" x14ac:dyDescent="0.25">
      <c r="A2" t="s">
        <v>175</v>
      </c>
      <c r="B2" t="s">
        <v>267</v>
      </c>
      <c r="C2">
        <v>1</v>
      </c>
      <c r="D2">
        <v>0</v>
      </c>
      <c r="E2">
        <v>0</v>
      </c>
      <c r="F2">
        <v>0</v>
      </c>
      <c r="G2">
        <v>0</v>
      </c>
      <c r="H2">
        <v>0</v>
      </c>
      <c r="I2">
        <v>160</v>
      </c>
      <c r="J2">
        <v>0.39</v>
      </c>
      <c r="K2">
        <v>0.8</v>
      </c>
      <c r="L2">
        <v>0</v>
      </c>
      <c r="M2">
        <v>275</v>
      </c>
      <c r="N2">
        <v>0.9</v>
      </c>
      <c r="O2">
        <v>0.9</v>
      </c>
      <c r="P2">
        <v>0.9</v>
      </c>
      <c r="Q2">
        <v>200.475</v>
      </c>
      <c r="R2">
        <v>0.93</v>
      </c>
    </row>
    <row r="3" spans="1:18" x14ac:dyDescent="0.25">
      <c r="A3" t="s">
        <v>177</v>
      </c>
      <c r="B3" t="s">
        <v>267</v>
      </c>
      <c r="C3">
        <v>2</v>
      </c>
      <c r="D3">
        <v>0</v>
      </c>
      <c r="E3">
        <v>0</v>
      </c>
      <c r="F3">
        <v>0</v>
      </c>
      <c r="G3">
        <v>0</v>
      </c>
      <c r="H3">
        <v>0</v>
      </c>
      <c r="I3">
        <v>2.8577</v>
      </c>
      <c r="J3">
        <v>0.39</v>
      </c>
      <c r="K3">
        <v>0.7</v>
      </c>
      <c r="L3">
        <v>0.75</v>
      </c>
      <c r="M3">
        <v>300</v>
      </c>
      <c r="N3">
        <v>0.9</v>
      </c>
      <c r="O3">
        <v>0.9</v>
      </c>
      <c r="P3">
        <v>0.9</v>
      </c>
      <c r="Q3">
        <f>M3*N3*O3*P3</f>
        <v>218.70000000000002</v>
      </c>
      <c r="R3">
        <v>0.8</v>
      </c>
    </row>
    <row r="4" spans="9:9" x14ac:dyDescent="0.25">
      <c r="I4" t="s">
        <v>268</v>
      </c>
    </row>
  </sheetData>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Views>
    <sheetView workbookViewId="0" zoomScale="169" zoomScaleNormal="100">
      <selection activeCell="A14" sqref="A14"/>
    </sheetView>
  </sheetViews>
  <sheetFormatPr defaultRowHeight="15" outlineLevelRow="0" outlineLevelCol="0" x14ac:dyDescent="0.2" defaultColWidth="8.83203125"/>
  <cols>
    <col min="1" max="1" width="19.33203125" customWidth="1"/>
    <col min="2" max="2" width="26.1640625" customWidth="1"/>
    <col min="3" max="3" width="18.1640625" customWidth="1"/>
  </cols>
  <sheetData>
    <row r="1" spans="1:2" x14ac:dyDescent="0.25">
      <c r="A1" t="s">
        <v>144</v>
      </c>
      <c r="B1" t="s">
        <v>7</v>
      </c>
    </row>
    <row r="2" spans="1:2" x14ac:dyDescent="0.25">
      <c r="A2" t="s">
        <v>269</v>
      </c>
      <c r="B2" t="s">
        <v>270</v>
      </c>
    </row>
    <row r="3" spans="1:2" x14ac:dyDescent="0.25">
      <c r="A3" t="s">
        <v>267</v>
      </c>
      <c r="B3" t="s">
        <v>271</v>
      </c>
    </row>
    <row r="4" spans="1:2" x14ac:dyDescent="0.25">
      <c r="A4" t="s">
        <v>272</v>
      </c>
      <c r="B4" t="s">
        <v>273</v>
      </c>
    </row>
    <row r="5" spans="1:2" x14ac:dyDescent="0.25">
      <c r="A5" t="s">
        <v>274</v>
      </c>
      <c r="B5" t="s">
        <v>275</v>
      </c>
    </row>
    <row r="6" spans="1:2" x14ac:dyDescent="0.25">
      <c r="A6" t="s">
        <v>276</v>
      </c>
      <c r="B6" t="s">
        <v>277</v>
      </c>
    </row>
    <row r="7" spans="1:2" x14ac:dyDescent="0.25">
      <c r="A7" t="s">
        <v>278</v>
      </c>
      <c r="B7" t="s">
        <v>279</v>
      </c>
    </row>
    <row r="8" spans="2:2" x14ac:dyDescent="0.25">
      <c r="B8" s="29" t="s">
        <v>280</v>
      </c>
    </row>
    <row r="9" spans="2:2" x14ac:dyDescent="0.25">
      <c r="B9" t="s">
        <v>281</v>
      </c>
    </row>
    <row r="10" spans="2:2" x14ac:dyDescent="0.25">
      <c r="B10" s="29" t="s">
        <v>282</v>
      </c>
    </row>
    <row r="11" spans="2:2" x14ac:dyDescent="0.25">
      <c r="B11" t="s">
        <v>283</v>
      </c>
    </row>
    <row r="12" spans="2:2" x14ac:dyDescent="0.25">
      <c r="B12" s="29" t="s">
        <v>176</v>
      </c>
    </row>
    <row r="13" spans="2:2" x14ac:dyDescent="0.25">
      <c r="B13" t="s">
        <v>284</v>
      </c>
    </row>
    <row r="14" spans="2:2" x14ac:dyDescent="0.25">
      <c r="B14" t="s">
        <v>285</v>
      </c>
    </row>
    <row r="15" spans="2:2" x14ac:dyDescent="0.25">
      <c r="B15" t="s">
        <v>286</v>
      </c>
    </row>
    <row r="16" spans="2:2" x14ac:dyDescent="0.25">
      <c r="B16" t="s">
        <v>287</v>
      </c>
    </row>
    <row r="17" spans="2:2" x14ac:dyDescent="0.25">
      <c r="B17" t="s">
        <v>288</v>
      </c>
    </row>
    <row r="18" spans="2:2" x14ac:dyDescent="0.25">
      <c r="B18" t="s">
        <v>289</v>
      </c>
    </row>
    <row r="19" spans="2:2" x14ac:dyDescent="0.25">
      <c r="B19" t="s">
        <v>290</v>
      </c>
    </row>
  </sheetData>
  <pageMargins left="0.7" right="0.7" top="0.75" bottom="0.75" header="0.3" footer="0.3"/>
  <tableParts count="2">
    <tablePart r:id="rId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7"/>
  <sheetViews>
    <sheetView workbookViewId="0" zoomScale="125" zoomScaleNormal="100">
      <selection activeCell="D82" sqref="D82"/>
    </sheetView>
  </sheetViews>
  <sheetFormatPr defaultRowHeight="15" outlineLevelRow="0" outlineLevelCol="0" x14ac:dyDescent="0.2" defaultColWidth="8.83203125"/>
  <cols>
    <col min="1" max="1" width="16.1640625" customWidth="1"/>
    <col min="2" max="2" width="13.83203125" customWidth="1"/>
    <col min="3" max="3" width="11.33203125" style="1" customWidth="1"/>
    <col min="4" max="4" width="104.5" style="2" customWidth="1"/>
  </cols>
  <sheetData>
    <row r="1" ht="16" customHeight="1" spans="1:4" x14ac:dyDescent="0.25">
      <c r="A1" s="3" t="s">
        <v>0</v>
      </c>
      <c r="B1" s="4" t="s">
        <v>1</v>
      </c>
      <c r="C1" s="4" t="s">
        <v>2</v>
      </c>
      <c r="D1" s="5" t="s">
        <v>3</v>
      </c>
    </row>
    <row r="2" ht="16" customHeight="1" spans="1:4" x14ac:dyDescent="0.25">
      <c r="A2" s="6" t="s">
        <v>4</v>
      </c>
      <c r="B2" s="6" t="str">
        <f t="array" ref="B2:B49">TRANSPOSE([1]Main_Input!A1:AV1)</f>
        <v>Config</v>
      </c>
      <c r="C2" s="7" t="s">
        <v>5</v>
      </c>
      <c r="D2" s="8" t="s">
        <v>6</v>
      </c>
    </row>
    <row r="3" ht="16" customHeight="1" spans="1:4" x14ac:dyDescent="0.25">
      <c r="A3" s="6" t="s">
        <v>4</v>
      </c>
      <c r="B3" s="6" t="s">
        <v>7</v>
      </c>
      <c r="C3" s="7" t="s">
        <v>5</v>
      </c>
      <c r="D3" s="2" t="s">
        <v>8</v>
      </c>
    </row>
    <row r="4" ht="32" customHeight="1" spans="1:4" x14ac:dyDescent="0.25">
      <c r="A4" s="6" t="s">
        <v>4</v>
      </c>
      <c r="B4" s="6" t="s">
        <v>9</v>
      </c>
      <c r="C4" s="7" t="s">
        <v>10</v>
      </c>
      <c r="D4" s="8" t="s">
        <v>11</v>
      </c>
    </row>
    <row r="5" ht="32" customHeight="1" spans="1:4" x14ac:dyDescent="0.25">
      <c r="A5" s="6" t="s">
        <v>4</v>
      </c>
      <c r="B5" s="6" t="s">
        <v>12</v>
      </c>
      <c r="C5" s="7" t="s">
        <v>5</v>
      </c>
      <c r="D5" s="8" t="s">
        <v>13</v>
      </c>
    </row>
    <row r="6" ht="16" customHeight="1" spans="1:4" x14ac:dyDescent="0.25">
      <c r="A6" s="6" t="s">
        <v>4</v>
      </c>
      <c r="B6" s="6" t="s">
        <v>14</v>
      </c>
      <c r="C6" s="7" t="s">
        <v>5</v>
      </c>
      <c r="D6" s="8" t="s">
        <v>15</v>
      </c>
    </row>
    <row r="7" ht="16" customHeight="1" spans="1:4" x14ac:dyDescent="0.25">
      <c r="A7" s="6" t="s">
        <v>4</v>
      </c>
      <c r="B7" s="6" t="s">
        <v>16</v>
      </c>
      <c r="C7" s="7" t="s">
        <v>10</v>
      </c>
      <c r="D7" s="8" t="s">
        <v>17</v>
      </c>
    </row>
    <row r="8" ht="16" customHeight="1" spans="1:4" x14ac:dyDescent="0.25">
      <c r="A8" s="6" t="s">
        <v>4</v>
      </c>
      <c r="B8" s="6" t="s">
        <v>18</v>
      </c>
      <c r="C8" s="7" t="s">
        <v>10</v>
      </c>
      <c r="D8" s="8" t="s">
        <v>19</v>
      </c>
    </row>
    <row r="9" ht="16" customHeight="1" spans="1:4" x14ac:dyDescent="0.25">
      <c r="A9" s="6" t="s">
        <v>4</v>
      </c>
      <c r="B9" s="6" t="s">
        <v>20</v>
      </c>
      <c r="C9" s="7" t="s">
        <v>5</v>
      </c>
      <c r="D9" s="8" t="s">
        <v>21</v>
      </c>
    </row>
    <row r="10" ht="16" customHeight="1" spans="1:4" x14ac:dyDescent="0.25">
      <c r="A10" s="6" t="s">
        <v>4</v>
      </c>
      <c r="B10" s="6" t="s">
        <v>22</v>
      </c>
      <c r="C10" s="7" t="s">
        <v>23</v>
      </c>
      <c r="D10" s="8" t="s">
        <v>24</v>
      </c>
    </row>
    <row r="11" ht="32" customHeight="1" spans="1:4" x14ac:dyDescent="0.25">
      <c r="A11" s="6" t="s">
        <v>4</v>
      </c>
      <c r="B11" s="6" t="s">
        <v>25</v>
      </c>
      <c r="C11" s="7" t="s">
        <v>23</v>
      </c>
      <c r="D11" s="8" t="s">
        <v>26</v>
      </c>
    </row>
    <row r="12" ht="16" customHeight="1" spans="1:4" x14ac:dyDescent="0.25">
      <c r="A12" s="6" t="s">
        <v>4</v>
      </c>
      <c r="B12" s="6" t="s">
        <v>27</v>
      </c>
      <c r="C12" s="7" t="s">
        <v>23</v>
      </c>
      <c r="D12" s="8" t="s">
        <v>28</v>
      </c>
    </row>
    <row r="13" ht="32" customHeight="1" spans="1:4" x14ac:dyDescent="0.25">
      <c r="A13" s="6" t="s">
        <v>4</v>
      </c>
      <c r="B13" s="6" t="s">
        <v>29</v>
      </c>
      <c r="C13" s="7" t="s">
        <v>5</v>
      </c>
      <c r="D13" s="8" t="s">
        <v>30</v>
      </c>
    </row>
    <row r="14" ht="32" customHeight="1" spans="1:4" x14ac:dyDescent="0.25">
      <c r="A14" s="6" t="s">
        <v>4</v>
      </c>
      <c r="B14" s="6" t="s">
        <v>31</v>
      </c>
      <c r="C14" s="7" t="s">
        <v>5</v>
      </c>
      <c r="D14" s="8" t="s">
        <v>32</v>
      </c>
    </row>
    <row r="15" ht="32" customHeight="1" spans="1:4" x14ac:dyDescent="0.25">
      <c r="A15" s="6" t="s">
        <v>4</v>
      </c>
      <c r="B15" s="6" t="s">
        <v>33</v>
      </c>
      <c r="C15" s="7" t="s">
        <v>23</v>
      </c>
      <c r="D15" s="8" t="s">
        <v>34</v>
      </c>
    </row>
    <row r="16" ht="16" customHeight="1" spans="1:4" x14ac:dyDescent="0.25">
      <c r="A16" s="6" t="s">
        <v>4</v>
      </c>
      <c r="B16" s="6" t="s">
        <v>35</v>
      </c>
      <c r="C16" s="7" t="s">
        <v>23</v>
      </c>
      <c r="D16" s="8" t="s">
        <v>36</v>
      </c>
    </row>
    <row r="17" ht="16" customHeight="1" spans="1:4" x14ac:dyDescent="0.25">
      <c r="A17" s="6" t="s">
        <v>4</v>
      </c>
      <c r="B17" s="6" t="s">
        <v>37</v>
      </c>
      <c r="C17" s="7" t="s">
        <v>5</v>
      </c>
      <c r="D17" s="8" t="s">
        <v>38</v>
      </c>
    </row>
    <row r="18" ht="16" customHeight="1" spans="1:4" x14ac:dyDescent="0.25">
      <c r="A18" s="6" t="s">
        <v>4</v>
      </c>
      <c r="B18" s="6" t="s">
        <v>39</v>
      </c>
      <c r="C18" s="7" t="s">
        <v>5</v>
      </c>
      <c r="D18" s="8" t="s">
        <v>40</v>
      </c>
    </row>
    <row r="19" ht="16" customHeight="1" spans="1:4" x14ac:dyDescent="0.25">
      <c r="A19" s="6" t="s">
        <v>4</v>
      </c>
      <c r="B19" s="6" t="s">
        <v>41</v>
      </c>
      <c r="C19" s="7" t="s">
        <v>42</v>
      </c>
      <c r="D19" s="8" t="s">
        <v>43</v>
      </c>
    </row>
    <row r="20" ht="16" customHeight="1" spans="1:4" x14ac:dyDescent="0.25">
      <c r="A20" s="6" t="s">
        <v>4</v>
      </c>
      <c r="B20" s="6" t="s">
        <v>44</v>
      </c>
      <c r="C20" s="7" t="s">
        <v>42</v>
      </c>
      <c r="D20" s="8" t="s">
        <v>45</v>
      </c>
    </row>
    <row r="21" ht="48" customHeight="1" spans="1:4" x14ac:dyDescent="0.25">
      <c r="A21" s="6" t="s">
        <v>4</v>
      </c>
      <c r="B21" s="6" t="s">
        <v>46</v>
      </c>
      <c r="C21" s="7" t="s">
        <v>5</v>
      </c>
      <c r="D21" s="8" t="s">
        <v>47</v>
      </c>
    </row>
    <row r="22" ht="28.5" customHeight="1" spans="1:4" x14ac:dyDescent="0.25">
      <c r="A22" s="6" t="s">
        <v>4</v>
      </c>
      <c r="B22" s="6" t="s">
        <v>48</v>
      </c>
      <c r="C22" s="7" t="s">
        <v>23</v>
      </c>
      <c r="D22" s="8" t="s">
        <v>49</v>
      </c>
    </row>
    <row r="23" ht="32" customHeight="1" spans="1:4" x14ac:dyDescent="0.25">
      <c r="A23" s="6" t="s">
        <v>4</v>
      </c>
      <c r="B23" s="6" t="s">
        <v>50</v>
      </c>
      <c r="C23" s="7" t="s">
        <v>23</v>
      </c>
      <c r="D23" s="8" t="s">
        <v>51</v>
      </c>
    </row>
    <row r="24" ht="16" customHeight="1" spans="1:4" x14ac:dyDescent="0.25">
      <c r="A24" s="6" t="s">
        <v>4</v>
      </c>
      <c r="B24" s="6" t="s">
        <v>52</v>
      </c>
      <c r="C24" s="7" t="s">
        <v>5</v>
      </c>
      <c r="D24" s="8" t="s">
        <v>53</v>
      </c>
    </row>
    <row r="25" ht="16" customHeight="1" spans="1:4" x14ac:dyDescent="0.25">
      <c r="A25" s="6" t="s">
        <v>4</v>
      </c>
      <c r="B25" s="6" t="s">
        <v>54</v>
      </c>
      <c r="C25" s="7" t="s">
        <v>5</v>
      </c>
      <c r="D25" s="8" t="s">
        <v>55</v>
      </c>
    </row>
    <row r="26" ht="16" customHeight="1" spans="1:4" x14ac:dyDescent="0.25">
      <c r="A26" s="6" t="s">
        <v>4</v>
      </c>
      <c r="B26" s="6" t="s">
        <v>56</v>
      </c>
      <c r="C26" s="7" t="s">
        <v>42</v>
      </c>
      <c r="D26" s="8" t="s">
        <v>57</v>
      </c>
    </row>
    <row r="27" ht="32" customHeight="1" spans="1:4" x14ac:dyDescent="0.25">
      <c r="A27" s="6" t="s">
        <v>4</v>
      </c>
      <c r="B27" s="6" t="s">
        <v>58</v>
      </c>
      <c r="C27" s="7" t="s">
        <v>10</v>
      </c>
      <c r="D27" s="8" t="s">
        <v>59</v>
      </c>
    </row>
    <row r="28" ht="48" customHeight="1" spans="1:4" x14ac:dyDescent="0.25">
      <c r="A28" s="6" t="s">
        <v>4</v>
      </c>
      <c r="B28" s="6" t="s">
        <v>60</v>
      </c>
      <c r="C28" s="7" t="s">
        <v>5</v>
      </c>
      <c r="D28" s="8" t="s">
        <v>61</v>
      </c>
    </row>
    <row r="29" ht="16" customHeight="1" spans="1:4" x14ac:dyDescent="0.25">
      <c r="A29" s="6" t="s">
        <v>4</v>
      </c>
      <c r="B29" s="6" t="s">
        <v>62</v>
      </c>
      <c r="C29" s="7" t="s">
        <v>23</v>
      </c>
      <c r="D29" s="8" t="s">
        <v>49</v>
      </c>
    </row>
    <row r="30" ht="32" customHeight="1" spans="1:4" x14ac:dyDescent="0.25">
      <c r="A30" s="6" t="s">
        <v>4</v>
      </c>
      <c r="B30" s="6" t="s">
        <v>63</v>
      </c>
      <c r="C30" s="7" t="s">
        <v>23</v>
      </c>
      <c r="D30" s="8" t="s">
        <v>51</v>
      </c>
    </row>
    <row r="31" ht="16" customHeight="1" spans="1:4" x14ac:dyDescent="0.25">
      <c r="A31" s="6" t="s">
        <v>4</v>
      </c>
      <c r="B31" s="6" t="s">
        <v>64</v>
      </c>
      <c r="C31" s="7" t="s">
        <v>5</v>
      </c>
      <c r="D31" s="8" t="s">
        <v>65</v>
      </c>
    </row>
    <row r="32" ht="16" customHeight="1" spans="1:4" x14ac:dyDescent="0.25">
      <c r="A32" s="6" t="s">
        <v>4</v>
      </c>
      <c r="B32" s="6" t="s">
        <v>66</v>
      </c>
      <c r="C32" s="7" t="s">
        <v>5</v>
      </c>
      <c r="D32" s="8" t="s">
        <v>67</v>
      </c>
    </row>
    <row r="33" ht="16" customHeight="1" spans="1:4" x14ac:dyDescent="0.25">
      <c r="A33" s="6" t="s">
        <v>4</v>
      </c>
      <c r="B33" s="6" t="s">
        <v>68</v>
      </c>
      <c r="C33" s="7" t="s">
        <v>42</v>
      </c>
      <c r="D33" s="8" t="s">
        <v>69</v>
      </c>
    </row>
    <row r="34" ht="32" customHeight="1" spans="1:4" x14ac:dyDescent="0.25">
      <c r="A34" s="6" t="s">
        <v>4</v>
      </c>
      <c r="B34" s="6" t="s">
        <v>70</v>
      </c>
      <c r="C34" s="7" t="s">
        <v>10</v>
      </c>
      <c r="D34" s="8" t="s">
        <v>71</v>
      </c>
    </row>
    <row r="35" ht="48" customHeight="1" spans="1:4" x14ac:dyDescent="0.25">
      <c r="A35" s="6" t="s">
        <v>4</v>
      </c>
      <c r="B35" s="6" t="s">
        <v>72</v>
      </c>
      <c r="C35" s="7" t="s">
        <v>5</v>
      </c>
      <c r="D35" s="8" t="s">
        <v>73</v>
      </c>
    </row>
    <row r="36" ht="16" customHeight="1" spans="1:4" x14ac:dyDescent="0.25">
      <c r="A36" s="6" t="s">
        <v>4</v>
      </c>
      <c r="B36" s="6" t="s">
        <v>74</v>
      </c>
      <c r="C36" s="7" t="s">
        <v>23</v>
      </c>
      <c r="D36" s="8" t="s">
        <v>75</v>
      </c>
    </row>
    <row r="37" ht="32" customHeight="1" spans="1:4" x14ac:dyDescent="0.25">
      <c r="A37" s="6" t="s">
        <v>4</v>
      </c>
      <c r="B37" s="6" t="s">
        <v>76</v>
      </c>
      <c r="C37" s="7" t="s">
        <v>23</v>
      </c>
      <c r="D37" s="8" t="s">
        <v>77</v>
      </c>
    </row>
    <row r="38" ht="16" customHeight="1" spans="1:4" x14ac:dyDescent="0.25">
      <c r="A38" s="6" t="s">
        <v>4</v>
      </c>
      <c r="B38" s="6" t="s">
        <v>78</v>
      </c>
      <c r="C38" s="7" t="s">
        <v>5</v>
      </c>
      <c r="D38" s="8" t="s">
        <v>79</v>
      </c>
    </row>
    <row r="39" ht="16" customHeight="1" spans="1:4" x14ac:dyDescent="0.25">
      <c r="A39" s="6" t="s">
        <v>4</v>
      </c>
      <c r="B39" s="6" t="s">
        <v>80</v>
      </c>
      <c r="C39" s="7" t="s">
        <v>5</v>
      </c>
      <c r="D39" s="8" t="s">
        <v>81</v>
      </c>
    </row>
    <row r="40" ht="16" customHeight="1" spans="1:4" x14ac:dyDescent="0.25">
      <c r="A40" s="6" t="s">
        <v>4</v>
      </c>
      <c r="B40" s="6" t="s">
        <v>82</v>
      </c>
      <c r="C40" s="7" t="s">
        <v>42</v>
      </c>
      <c r="D40" s="8" t="s">
        <v>83</v>
      </c>
    </row>
    <row r="41" ht="32" customHeight="1" spans="1:4" x14ac:dyDescent="0.25">
      <c r="A41" s="6" t="s">
        <v>4</v>
      </c>
      <c r="B41" s="6" t="s">
        <v>84</v>
      </c>
      <c r="C41" s="7" t="s">
        <v>10</v>
      </c>
      <c r="D41" s="8" t="s">
        <v>85</v>
      </c>
    </row>
    <row r="42" ht="48" customHeight="1" spans="1:4" x14ac:dyDescent="0.25">
      <c r="A42" s="6" t="s">
        <v>4</v>
      </c>
      <c r="B42" s="6" t="s">
        <v>86</v>
      </c>
      <c r="C42" s="7" t="s">
        <v>5</v>
      </c>
      <c r="D42" s="8" t="s">
        <v>87</v>
      </c>
    </row>
    <row r="43" ht="16" customHeight="1" spans="1:4" x14ac:dyDescent="0.25">
      <c r="A43" s="6" t="s">
        <v>4</v>
      </c>
      <c r="B43" s="6" t="s">
        <v>88</v>
      </c>
      <c r="C43" s="7" t="s">
        <v>23</v>
      </c>
      <c r="D43" s="8" t="s">
        <v>89</v>
      </c>
    </row>
    <row r="44" ht="32" customHeight="1" spans="1:4" x14ac:dyDescent="0.25">
      <c r="A44" s="6" t="s">
        <v>4</v>
      </c>
      <c r="B44" s="6" t="s">
        <v>90</v>
      </c>
      <c r="C44" s="7" t="s">
        <v>23</v>
      </c>
      <c r="D44" s="8" t="s">
        <v>91</v>
      </c>
    </row>
    <row r="45" ht="16" customHeight="1" spans="1:4" x14ac:dyDescent="0.25">
      <c r="A45" s="6" t="s">
        <v>4</v>
      </c>
      <c r="B45" s="6" t="s">
        <v>92</v>
      </c>
      <c r="C45" s="7" t="s">
        <v>5</v>
      </c>
      <c r="D45" s="8" t="s">
        <v>93</v>
      </c>
    </row>
    <row r="46" ht="16" customHeight="1" spans="1:4" x14ac:dyDescent="0.25">
      <c r="A46" s="6" t="s">
        <v>4</v>
      </c>
      <c r="B46" s="6" t="s">
        <v>94</v>
      </c>
      <c r="C46" s="7" t="s">
        <v>5</v>
      </c>
      <c r="D46" s="8" t="s">
        <v>95</v>
      </c>
    </row>
    <row r="47" ht="16" customHeight="1" spans="1:4" x14ac:dyDescent="0.25">
      <c r="A47" s="6" t="s">
        <v>4</v>
      </c>
      <c r="B47" s="6" t="s">
        <v>96</v>
      </c>
      <c r="C47" s="7" t="s">
        <v>42</v>
      </c>
      <c r="D47" s="8" t="s">
        <v>97</v>
      </c>
    </row>
    <row r="48" ht="32" customHeight="1" spans="1:4" x14ac:dyDescent="0.25">
      <c r="A48" s="6" t="s">
        <v>4</v>
      </c>
      <c r="B48" s="6" t="s">
        <v>98</v>
      </c>
      <c r="C48" s="7" t="s">
        <v>10</v>
      </c>
      <c r="D48" s="8" t="s">
        <v>99</v>
      </c>
    </row>
    <row r="49" ht="48" customHeight="1" spans="1:4" x14ac:dyDescent="0.25">
      <c r="A49" s="6" t="s">
        <v>4</v>
      </c>
      <c r="B49" s="6" t="s">
        <v>100</v>
      </c>
      <c r="C49" s="7" t="s">
        <v>5</v>
      </c>
      <c r="D49" s="8" t="s">
        <v>101</v>
      </c>
    </row>
    <row r="50" spans="1:4" x14ac:dyDescent="0.25">
      <c r="A50" s="9"/>
      <c r="B50" s="9"/>
      <c r="C50" s="10"/>
      <c r="D50" s="11"/>
    </row>
    <row r="51" ht="16" customHeight="1" spans="1:4" x14ac:dyDescent="0.25">
      <c r="A51" s="6" t="s">
        <v>102</v>
      </c>
      <c r="B51" s="6" t="s">
        <v>103</v>
      </c>
      <c r="C51" s="7" t="s">
        <v>5</v>
      </c>
      <c r="D51" s="8" t="s">
        <v>104</v>
      </c>
    </row>
    <row r="52" ht="16" customHeight="1" spans="1:4" x14ac:dyDescent="0.25">
      <c r="A52" s="6" t="s">
        <v>102</v>
      </c>
      <c r="B52" s="6" t="s">
        <v>105</v>
      </c>
      <c r="C52" s="7" t="s">
        <v>5</v>
      </c>
      <c r="D52" s="8" t="s">
        <v>106</v>
      </c>
    </row>
    <row r="53" ht="16" customHeight="1" spans="1:4" x14ac:dyDescent="0.25">
      <c r="A53" s="6" t="s">
        <v>102</v>
      </c>
      <c r="B53" s="6" t="s">
        <v>107</v>
      </c>
      <c r="C53" s="7" t="s">
        <v>5</v>
      </c>
      <c r="D53" s="8" t="s">
        <v>108</v>
      </c>
    </row>
    <row r="54" ht="16" customHeight="1" spans="1:4" x14ac:dyDescent="0.25">
      <c r="A54" s="6" t="s">
        <v>102</v>
      </c>
      <c r="B54" s="6" t="s">
        <v>109</v>
      </c>
      <c r="C54" s="7" t="s">
        <v>5</v>
      </c>
      <c r="D54" s="8" t="s">
        <v>110</v>
      </c>
    </row>
    <row r="55" ht="16" customHeight="1" spans="1:4" x14ac:dyDescent="0.25">
      <c r="A55" s="6" t="s">
        <v>102</v>
      </c>
      <c r="B55" s="6" t="s">
        <v>111</v>
      </c>
      <c r="C55" s="7" t="s">
        <v>5</v>
      </c>
      <c r="D55" s="8" t="s">
        <v>112</v>
      </c>
    </row>
    <row r="56" ht="16" customHeight="1" spans="1:4" x14ac:dyDescent="0.25">
      <c r="A56" s="6" t="s">
        <v>102</v>
      </c>
      <c r="B56" s="6" t="s">
        <v>113</v>
      </c>
      <c r="C56" s="7" t="s">
        <v>5</v>
      </c>
      <c r="D56" s="8" t="s">
        <v>114</v>
      </c>
    </row>
    <row r="57" ht="16" customHeight="1" spans="1:4" x14ac:dyDescent="0.25">
      <c r="A57" s="6" t="s">
        <v>102</v>
      </c>
      <c r="B57" s="6" t="s">
        <v>115</v>
      </c>
      <c r="C57" s="7" t="s">
        <v>5</v>
      </c>
      <c r="D57" s="8" t="s">
        <v>116</v>
      </c>
    </row>
    <row r="58" ht="16" customHeight="1" spans="1:4" x14ac:dyDescent="0.25">
      <c r="A58" s="6" t="s">
        <v>102</v>
      </c>
      <c r="B58" s="6" t="s">
        <v>117</v>
      </c>
      <c r="C58" s="7" t="s">
        <v>5</v>
      </c>
      <c r="D58" s="8" t="s">
        <v>118</v>
      </c>
    </row>
    <row r="59" ht="16" customHeight="1" spans="1:4" x14ac:dyDescent="0.25">
      <c r="A59" s="6" t="s">
        <v>102</v>
      </c>
      <c r="B59" s="6" t="s">
        <v>119</v>
      </c>
      <c r="C59" s="7" t="s">
        <v>5</v>
      </c>
      <c r="D59" s="8" t="s">
        <v>120</v>
      </c>
    </row>
    <row r="60" ht="16" customHeight="1" spans="1:4" x14ac:dyDescent="0.25">
      <c r="A60" s="6" t="s">
        <v>102</v>
      </c>
      <c r="B60" s="6" t="s">
        <v>121</v>
      </c>
      <c r="C60" s="7" t="s">
        <v>5</v>
      </c>
      <c r="D60" s="8" t="s">
        <v>122</v>
      </c>
    </row>
    <row r="61" ht="16" customHeight="1" spans="1:4" x14ac:dyDescent="0.25">
      <c r="A61" s="6" t="s">
        <v>102</v>
      </c>
      <c r="B61" s="6" t="s">
        <v>123</v>
      </c>
      <c r="C61" s="7" t="s">
        <v>5</v>
      </c>
      <c r="D61" s="8" t="s">
        <v>124</v>
      </c>
    </row>
    <row r="62" ht="16" customHeight="1" spans="1:4" x14ac:dyDescent="0.25">
      <c r="A62" s="6" t="s">
        <v>102</v>
      </c>
      <c r="B62" s="6" t="s">
        <v>125</v>
      </c>
      <c r="C62" s="7" t="s">
        <v>5</v>
      </c>
      <c r="D62" s="8" t="s">
        <v>126</v>
      </c>
    </row>
    <row r="63" ht="16" customHeight="1" spans="1:4" x14ac:dyDescent="0.25">
      <c r="A63" s="6" t="s">
        <v>102</v>
      </c>
      <c r="B63" s="6" t="s">
        <v>127</v>
      </c>
      <c r="C63" s="7" t="s">
        <v>5</v>
      </c>
      <c r="D63" s="8" t="s">
        <v>128</v>
      </c>
    </row>
    <row r="64" ht="16" customHeight="1" spans="1:4" x14ac:dyDescent="0.25">
      <c r="A64" s="6" t="s">
        <v>102</v>
      </c>
      <c r="B64" s="6" t="s">
        <v>129</v>
      </c>
      <c r="C64" s="7" t="s">
        <v>5</v>
      </c>
      <c r="D64" s="8" t="s">
        <v>130</v>
      </c>
    </row>
    <row r="65" ht="16" customHeight="1" spans="1:4" x14ac:dyDescent="0.25">
      <c r="A65" s="6" t="s">
        <v>102</v>
      </c>
      <c r="B65" s="6" t="s">
        <v>131</v>
      </c>
      <c r="C65" s="7" t="s">
        <v>5</v>
      </c>
      <c r="D65" s="8" t="s">
        <v>132</v>
      </c>
    </row>
    <row r="66" ht="16" customHeight="1" spans="1:4" x14ac:dyDescent="0.25">
      <c r="A66" s="6" t="s">
        <v>102</v>
      </c>
      <c r="B66" s="6" t="s">
        <v>133</v>
      </c>
      <c r="C66" s="7" t="s">
        <v>5</v>
      </c>
      <c r="D66" s="8" t="s">
        <v>134</v>
      </c>
    </row>
    <row r="67" ht="16" customHeight="1" spans="1:4" x14ac:dyDescent="0.25">
      <c r="A67" s="6" t="s">
        <v>102</v>
      </c>
      <c r="B67" s="6" t="s">
        <v>135</v>
      </c>
      <c r="C67" s="7" t="s">
        <v>5</v>
      </c>
      <c r="D67" s="8" t="s">
        <v>136</v>
      </c>
    </row>
    <row r="68" ht="16" customHeight="1" spans="1:4" x14ac:dyDescent="0.25">
      <c r="A68" s="6" t="s">
        <v>102</v>
      </c>
      <c r="B68" s="6" t="s">
        <v>137</v>
      </c>
      <c r="C68" s="7" t="s">
        <v>5</v>
      </c>
      <c r="D68" s="8" t="s">
        <v>138</v>
      </c>
    </row>
    <row r="69" ht="16" customHeight="1" spans="1:4" x14ac:dyDescent="0.25">
      <c r="A69" s="6" t="s">
        <v>102</v>
      </c>
      <c r="B69" s="6" t="s">
        <v>139</v>
      </c>
      <c r="C69" s="7" t="s">
        <v>5</v>
      </c>
      <c r="D69" s="8" t="s">
        <v>140</v>
      </c>
    </row>
    <row r="70" ht="16" customHeight="1" spans="1:4" x14ac:dyDescent="0.25">
      <c r="A70" s="6" t="s">
        <v>102</v>
      </c>
      <c r="B70" s="6" t="s">
        <v>141</v>
      </c>
      <c r="C70" s="7" t="s">
        <v>5</v>
      </c>
      <c r="D70" s="8" t="s">
        <v>142</v>
      </c>
    </row>
    <row r="71" spans="1:4" x14ac:dyDescent="0.25">
      <c r="A71" s="12"/>
      <c r="B71" s="12"/>
      <c r="C71" s="10"/>
      <c r="D71" s="13"/>
    </row>
    <row r="72" ht="16" customHeight="1" spans="1:4" x14ac:dyDescent="0.25">
      <c r="A72" s="6" t="s">
        <v>143</v>
      </c>
      <c r="B72" s="6" t="str">
        <f t="array" ref="B72:B82">TRANSPOSE([1]Propulsion!A1:K1)</f>
        <v>Config</v>
      </c>
      <c r="C72" s="7" t="s">
        <v>5</v>
      </c>
      <c r="D72" s="8" t="s">
        <v>104</v>
      </c>
    </row>
    <row r="73" ht="16" customHeight="1" spans="1:4" x14ac:dyDescent="0.25">
      <c r="A73" s="6" t="s">
        <v>143</v>
      </c>
      <c r="B73" s="6" t="s">
        <v>144</v>
      </c>
      <c r="C73" s="7" t="s">
        <v>5</v>
      </c>
      <c r="D73" s="8" t="s">
        <v>145</v>
      </c>
    </row>
    <row r="74" ht="16" customHeight="1" spans="1:4" x14ac:dyDescent="0.25">
      <c r="A74" s="6" t="s">
        <v>143</v>
      </c>
      <c r="B74" s="6" t="s">
        <v>146</v>
      </c>
      <c r="C74" s="7" t="s">
        <v>5</v>
      </c>
      <c r="D74" s="8" t="s">
        <v>147</v>
      </c>
    </row>
    <row r="75" ht="16" customHeight="1" spans="1:4" x14ac:dyDescent="0.25">
      <c r="A75" s="6" t="s">
        <v>143</v>
      </c>
      <c r="B75" s="6" t="s">
        <v>148</v>
      </c>
      <c r="C75" s="7" t="s">
        <v>149</v>
      </c>
      <c r="D75" s="8" t="s">
        <v>150</v>
      </c>
    </row>
    <row r="76" ht="16" customHeight="1" spans="1:4" x14ac:dyDescent="0.25">
      <c r="A76" s="6" t="s">
        <v>143</v>
      </c>
      <c r="B76" s="6" t="s">
        <v>151</v>
      </c>
      <c r="C76" s="7" t="s">
        <v>152</v>
      </c>
      <c r="D76" s="8" t="s">
        <v>153</v>
      </c>
    </row>
    <row r="77" ht="32" customHeight="1" spans="1:4" x14ac:dyDescent="0.25">
      <c r="A77" s="6" t="s">
        <v>143</v>
      </c>
      <c r="B77" s="6" t="s">
        <v>154</v>
      </c>
      <c r="C77" s="7" t="s">
        <v>149</v>
      </c>
      <c r="D77" s="8" t="s">
        <v>155</v>
      </c>
    </row>
    <row r="78" ht="32" customHeight="1" spans="1:4" x14ac:dyDescent="0.25">
      <c r="A78" s="6" t="s">
        <v>143</v>
      </c>
      <c r="B78" s="6" t="s">
        <v>156</v>
      </c>
      <c r="C78" s="7" t="s">
        <v>152</v>
      </c>
      <c r="D78" s="8" t="s">
        <v>157</v>
      </c>
    </row>
    <row r="79" ht="16" customHeight="1" spans="1:4" x14ac:dyDescent="0.25">
      <c r="A79" s="6" t="s">
        <v>143</v>
      </c>
      <c r="B79" s="6" t="s">
        <v>158</v>
      </c>
      <c r="C79" s="7" t="s">
        <v>5</v>
      </c>
      <c r="D79" s="8" t="s">
        <v>159</v>
      </c>
    </row>
    <row r="80" ht="16" customHeight="1" spans="1:4" x14ac:dyDescent="0.25">
      <c r="A80" s="6" t="s">
        <v>143</v>
      </c>
      <c r="B80" s="6" t="s">
        <v>160</v>
      </c>
      <c r="C80" s="7" t="s">
        <v>161</v>
      </c>
      <c r="D80" s="8" t="s">
        <v>162</v>
      </c>
    </row>
    <row r="81" ht="16" customHeight="1" spans="1:4" x14ac:dyDescent="0.25">
      <c r="A81" s="6" t="s">
        <v>143</v>
      </c>
      <c r="B81" s="6" t="s">
        <v>163</v>
      </c>
      <c r="C81" s="7" t="s">
        <v>164</v>
      </c>
      <c r="D81" s="8" t="s">
        <v>165</v>
      </c>
    </row>
    <row r="82" ht="16" customHeight="1" spans="1:4" x14ac:dyDescent="0.25">
      <c r="A82" s="6" t="s">
        <v>143</v>
      </c>
      <c r="B82" s="6" t="s">
        <v>166</v>
      </c>
      <c r="C82" s="7" t="s">
        <v>5</v>
      </c>
      <c r="D82" s="8" t="s">
        <v>167</v>
      </c>
    </row>
    <row r="83" spans="1:4" x14ac:dyDescent="0.25">
      <c r="A83" t="s">
        <v>168</v>
      </c>
      <c r="B83" t="s">
        <v>169</v>
      </c>
      <c r="C83" t="s">
        <v>10</v>
      </c>
      <c r="D83" t="s">
        <v>170</v>
      </c>
    </row>
    <row r="84" spans="1:4" x14ac:dyDescent="0.25">
      <c r="A84" t="s">
        <v>168</v>
      </c>
      <c r="B84" t="s">
        <v>171</v>
      </c>
      <c r="C84" t="s">
        <v>10</v>
      </c>
      <c r="D84" t="s">
        <v>170</v>
      </c>
    </row>
    <row r="85" spans="1:4" x14ac:dyDescent="0.25">
      <c r="A85" t="s">
        <v>168</v>
      </c>
      <c r="B85" t="s">
        <v>172</v>
      </c>
      <c r="C85" t="s">
        <v>10</v>
      </c>
      <c r="D85" t="s">
        <v>170</v>
      </c>
    </row>
    <row r="86" spans="1:4" x14ac:dyDescent="0.25">
      <c r="A86" t="s">
        <v>168</v>
      </c>
      <c r="B86" t="s">
        <v>173</v>
      </c>
      <c r="C86" t="s">
        <v>10</v>
      </c>
      <c r="D86" t="s">
        <v>170</v>
      </c>
    </row>
    <row r="87" spans="1:4" x14ac:dyDescent="0.25">
      <c r="A87" t="s">
        <v>168</v>
      </c>
      <c r="B87" t="s">
        <v>174</v>
      </c>
      <c r="C87" t="s">
        <v>10</v>
      </c>
      <c r="D87" t="s">
        <v>170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8"/>
  <sheetViews>
    <sheetView workbookViewId="0" zoomScale="100" zoomScaleNormal="100">
      <selection activeCell="AL20" sqref="AL20"/>
    </sheetView>
  </sheetViews>
  <sheetFormatPr defaultRowHeight="15" outlineLevelRow="0" outlineLevelCol="0" x14ac:dyDescent="0.2"/>
  <sheetData>
    <row r="1" spans="1:40" x14ac:dyDescent="0.25">
      <c r="A1" s="24" t="s">
        <v>103</v>
      </c>
      <c r="B1" s="24" t="s">
        <v>219</v>
      </c>
      <c r="C1" s="24" t="s">
        <v>220</v>
      </c>
      <c r="D1" s="24" t="s">
        <v>221</v>
      </c>
      <c r="E1" s="24" t="s">
        <v>222</v>
      </c>
      <c r="F1" s="24" t="s">
        <v>223</v>
      </c>
      <c r="G1" s="24" t="s">
        <v>224</v>
      </c>
      <c r="H1" s="24" t="s">
        <v>225</v>
      </c>
      <c r="I1" s="24" t="s">
        <v>226</v>
      </c>
      <c r="J1" s="24" t="s">
        <v>227</v>
      </c>
      <c r="K1" s="24" t="s">
        <v>228</v>
      </c>
      <c r="L1" s="24" t="s">
        <v>229</v>
      </c>
      <c r="M1" s="24" t="s">
        <v>230</v>
      </c>
      <c r="N1" s="24" t="s">
        <v>231</v>
      </c>
      <c r="O1" s="24" t="s">
        <v>232</v>
      </c>
      <c r="P1" s="24" t="s">
        <v>233</v>
      </c>
      <c r="Q1" s="24" t="s">
        <v>234</v>
      </c>
      <c r="R1" s="24" t="s">
        <v>235</v>
      </c>
      <c r="S1" s="24" t="s">
        <v>236</v>
      </c>
      <c r="T1" s="24" t="s">
        <v>237</v>
      </c>
      <c r="U1" s="24" t="s">
        <v>238</v>
      </c>
      <c r="V1" s="24" t="s">
        <v>239</v>
      </c>
      <c r="W1" s="24" t="s">
        <v>240</v>
      </c>
      <c r="X1" s="24" t="s">
        <v>241</v>
      </c>
      <c r="Y1" s="24" t="s">
        <v>242</v>
      </c>
      <c r="Z1" s="24" t="s">
        <v>243</v>
      </c>
      <c r="AA1" s="24" t="s">
        <v>244</v>
      </c>
      <c r="AB1" s="24" t="s">
        <v>245</v>
      </c>
      <c r="AC1" s="24" t="s">
        <v>246</v>
      </c>
      <c r="AD1" s="24" t="s">
        <v>247</v>
      </c>
      <c r="AE1" s="24" t="s">
        <v>248</v>
      </c>
      <c r="AF1" s="24" t="s">
        <v>249</v>
      </c>
      <c r="AG1" s="24" t="s">
        <v>250</v>
      </c>
      <c r="AH1" s="24" t="s">
        <v>251</v>
      </c>
      <c r="AI1" s="24" t="s">
        <v>252</v>
      </c>
      <c r="AJ1" t="s">
        <v>169</v>
      </c>
      <c r="AK1" t="s">
        <v>171</v>
      </c>
      <c r="AL1" t="s">
        <v>172</v>
      </c>
      <c r="AM1" t="s">
        <v>173</v>
      </c>
      <c r="AN1" t="s">
        <v>174</v>
      </c>
    </row>
    <row r="2" spans="1:35" x14ac:dyDescent="0.25">
      <c r="A2" s="24" t="s">
        <v>253</v>
      </c>
      <c r="B2" s="24"/>
      <c r="C2" s="24"/>
      <c r="D2" s="24"/>
      <c r="E2" s="24"/>
      <c r="F2" s="24"/>
      <c r="G2" s="24"/>
      <c r="H2" s="24"/>
      <c r="I2" s="24"/>
      <c r="J2" s="24"/>
      <c r="K2" s="24"/>
      <c r="L2" s="24"/>
      <c r="M2" s="24"/>
      <c r="N2" s="24"/>
      <c r="O2" s="24"/>
      <c r="P2" s="24"/>
      <c r="Q2" s="24"/>
      <c r="R2" s="24"/>
      <c r="S2" s="24"/>
      <c r="T2" s="24"/>
      <c r="U2" s="24"/>
      <c r="V2" s="24"/>
      <c r="W2" s="24"/>
      <c r="X2" s="24"/>
      <c r="Y2" s="24"/>
      <c r="Z2" s="24"/>
      <c r="AA2" s="24"/>
      <c r="AB2" s="24"/>
      <c r="AC2" s="24"/>
      <c r="AD2" s="24"/>
      <c r="AE2" s="24"/>
      <c r="AF2" s="24"/>
      <c r="AG2" s="24"/>
      <c r="AH2" s="24"/>
      <c r="AI2" s="24"/>
    </row>
    <row r="3" spans="1:35" x14ac:dyDescent="0.25">
      <c r="A3" s="24" t="s">
        <v>254</v>
      </c>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c r="AF3" s="24"/>
      <c r="AG3" s="24"/>
      <c r="AH3" s="24"/>
      <c r="AI3" s="24"/>
    </row>
    <row r="4" spans="1:35" x14ac:dyDescent="0.25">
      <c r="A4" s="24" t="s">
        <v>255</v>
      </c>
      <c r="B4" s="24"/>
      <c r="C4" s="24"/>
      <c r="D4" s="24"/>
      <c r="E4" s="24"/>
      <c r="F4" s="24"/>
      <c r="G4" s="24"/>
      <c r="H4" s="24"/>
      <c r="I4" s="24"/>
      <c r="J4" s="24"/>
      <c r="K4" s="24"/>
      <c r="L4" s="24"/>
      <c r="M4" s="24"/>
      <c r="N4" s="24"/>
      <c r="O4" s="24"/>
      <c r="P4" s="24"/>
      <c r="Q4" s="24"/>
      <c r="R4" s="24"/>
      <c r="S4" s="24"/>
      <c r="T4" s="24"/>
      <c r="U4" s="24"/>
      <c r="V4" s="24"/>
      <c r="W4" s="24"/>
      <c r="X4" s="24"/>
      <c r="Y4" s="24"/>
      <c r="Z4" s="24"/>
      <c r="AA4" s="24"/>
      <c r="AB4" s="24"/>
      <c r="AC4" s="24"/>
      <c r="AD4" s="24"/>
      <c r="AE4" s="24"/>
      <c r="AF4" s="24"/>
      <c r="AG4" s="24"/>
      <c r="AH4" s="24"/>
      <c r="AI4" s="24"/>
    </row>
    <row r="5" spans="1:35" x14ac:dyDescent="0.25">
      <c r="A5" s="24" t="s">
        <v>256</v>
      </c>
      <c r="B5" s="24"/>
      <c r="C5" s="24"/>
      <c r="D5" s="24"/>
      <c r="E5" s="24"/>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c r="AI5" s="24"/>
    </row>
    <row r="6" spans="1:35" x14ac:dyDescent="0.25">
      <c r="A6" s="24" t="s">
        <v>175</v>
      </c>
      <c r="B6" s="24"/>
      <c r="C6" s="24"/>
      <c r="D6" s="24"/>
      <c r="E6" s="24"/>
      <c r="F6" s="24"/>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row>
    <row r="7" spans="1:35" x14ac:dyDescent="0.25">
      <c r="A7" s="24" t="s">
        <v>257</v>
      </c>
      <c r="B7" s="24"/>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c r="AI7" s="24"/>
    </row>
    <row r="8" spans="1:40" x14ac:dyDescent="0.25">
      <c r="A8" s="24" t="s">
        <v>258</v>
      </c>
      <c r="B8" s="24">
        <v>0</v>
      </c>
      <c r="C8" s="24">
        <v>0</v>
      </c>
      <c r="D8" s="24">
        <v>0</v>
      </c>
      <c r="E8" s="24">
        <v>2.0505</v>
      </c>
      <c r="F8" s="24">
        <v>0</v>
      </c>
      <c r="G8" s="24">
        <v>1.22526247</v>
      </c>
      <c r="H8" s="24">
        <v>0</v>
      </c>
      <c r="I8" s="24">
        <v>3.9</v>
      </c>
      <c r="J8" s="24">
        <v>0</v>
      </c>
      <c r="K8" s="24">
        <v>0</v>
      </c>
      <c r="L8" s="24">
        <v>0</v>
      </c>
      <c r="M8" s="24">
        <v>3.9</v>
      </c>
      <c r="N8" s="24">
        <v>0</v>
      </c>
      <c r="O8" s="24">
        <v>0</v>
      </c>
      <c r="P8" s="24">
        <v>8.8</v>
      </c>
      <c r="Q8" s="24">
        <v>2.03</v>
      </c>
      <c r="R8" s="24">
        <v>0</v>
      </c>
      <c r="S8" s="24">
        <v>0</v>
      </c>
      <c r="T8" s="24">
        <v>0</v>
      </c>
      <c r="U8" s="24">
        <v>0</v>
      </c>
      <c r="V8" s="24">
        <v>1.02526247</v>
      </c>
      <c r="W8" s="24">
        <v>3.73</v>
      </c>
      <c r="X8" s="24">
        <v>0</v>
      </c>
      <c r="Y8" s="24">
        <v>3.73</v>
      </c>
      <c r="Z8" s="24">
        <v>0</v>
      </c>
      <c r="AA8" s="24" t="s">
        <v>251</v>
      </c>
      <c r="AB8" s="24" t="s">
        <v>251</v>
      </c>
      <c r="AC8" s="24" t="s">
        <v>251</v>
      </c>
      <c r="AD8" s="24" t="s">
        <v>251</v>
      </c>
      <c r="AE8" s="24" t="s">
        <v>251</v>
      </c>
      <c r="AF8" s="24" t="s">
        <v>251</v>
      </c>
      <c r="AG8" s="24">
        <v>0.015</v>
      </c>
      <c r="AH8" s="24">
        <v>37.5</v>
      </c>
      <c r="AI8" s="24"/>
      <c r="AJ8" t="s">
        <v>259</v>
      </c>
      <c r="AK8" t="s">
        <v>259</v>
      </c>
      <c r="AL8" t="s">
        <v>259</v>
      </c>
      <c r="AM8" t="s">
        <v>259</v>
      </c>
      <c r="AN8" t="s">
        <v>259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Noah Judelson</cp:lastModifiedBy>
  <dcterms:created xsi:type="dcterms:W3CDTF">2023-12-05T19:03:00Z</dcterms:created>
  <dcterms:modified xsi:type="dcterms:W3CDTF">2026-09-14T18:32:49Z</dcterms:modified>
</cp:coreProperties>
</file>