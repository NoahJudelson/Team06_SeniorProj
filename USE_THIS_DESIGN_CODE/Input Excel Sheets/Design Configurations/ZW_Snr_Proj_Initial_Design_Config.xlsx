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D077953F-200C-B54A-93A7-B0F5E120B905}" xr6:coauthVersionLast="47" xr6:coauthVersionMax="47" xr10:uidLastSave="{00000000-0000-0000-0000-000000000000}"/>
  <bookViews>
    <workbookView xWindow="260" yWindow="500" windowWidth="28800" windowHeight="16220" activeTab="2"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3" l="1"/>
  <c r="AJ3" i="4"/>
  <c r="V3" i="4"/>
  <c r="O3" i="4"/>
  <c r="K3" i="4"/>
  <c r="I3" i="4"/>
  <c r="H3" i="4"/>
  <c r="W2" i="5"/>
  <c r="G2" i="5"/>
  <c r="F2" i="5"/>
  <c r="E2" i="5"/>
  <c r="A2" i="5"/>
  <c r="H2" i="4"/>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<sst xmlns="http://schemas.openxmlformats.org/spreadsheetml/2006/main" count="423" uniqueCount="243">
  <si>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</si>
  <si>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</si>
  <si>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</si>
  <si>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</si>
  <si>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</si>
  <si>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</si>
  <si>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</si>
  <si>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</si>
  <si>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</si>
  <si>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</si>
  <si>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</si>
  <si>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</si>
  <si>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</si>
  <si>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</si>
  <si>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</si>
  <si>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</si>
  <si>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</si>
  <si>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</si>
  <si>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</si>
  <si>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</si>
  <si>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</si>
  <si>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</si>
  <si>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</si>
  <si>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</si>
  <si>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</si>
  <si>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</si>
  <si>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</si>
  <si>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</si>
  <si>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</si>
  <si>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</si>
  <si>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</si>
  <si>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</si>
  <si>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</si>
  <si>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</si>
  <si>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</si>
  <si>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</si>
  <si>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</si>
  <si>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</si>
  <si>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</si>
  <si>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</si>
  <si>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</si>
  <si>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</si>
  <si>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</si>
  <si>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</si>
  <si>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</si>
  <si>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</si>
  <si>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</si>
  <si>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</si>
  <si>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</si>
  <si>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</si>
  <si>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</si>
  <si>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</si>
  <si>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</si>
  <si>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</si>
  <si>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</si>
  <si>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</si>
  <si>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</si>
  <si>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</si>
  <si>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</si>
  <si>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</si>
  <si>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</si>
  <si>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</si>
  <si>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</si>
  <si>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</si>
  <si>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</si>
  <si>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</si>
  <si>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</si>
  <si>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</si>
  <si>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</si>
  <si>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</si>
  <si>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</si>
  <si>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</si>
  <si>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</si>
  <si>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</si>
  <si>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</si>
  <si>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</si>
  <si>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</si>
  <si>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</si>
  <si>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</si>
  <si>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</si>
  <si>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</si>
  <si>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</si>
  <si>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</si>
  <si>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</si>
  <si>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</si>
  <si>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</si>
  <si>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</si>
  <si>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</si>
  <si>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</si>
  <si>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</si>
  <si>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</si>
  <si>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</si>
  <si>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</si>
  <si>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</si>
  <si>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</si>
  <si>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</si>
  <si>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</si>
  <si>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</si>
  <si>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</si>
  <si>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</si>
  <si>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</si>
  <si>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</si>
  <si>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</si>
  <si>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</si>
  <si>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</si>
  <si>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</si>
  <si>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</si>
  <si>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</si>
  <si>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</si>
  <si>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</si>
  <si>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</si>
  <si>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</si>
  <si>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</si>
  <si>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</si>
  <si>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</si>
  <si>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</si>
  <si>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</si>
  <si>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</si>
  <si>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</si>
  <si>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</si>
  <si>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</si>
  <si>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</si>
  <si>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</si>
  <si>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</si>
  <si>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</si>
  <si>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</si>
  <si>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</si>
  <si>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</si>
  <si>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</si>
  <si>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</si>
  <si>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</si>
  <si>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</si>
  <si>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</si>
  <si>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</si>
  <si>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</si>
  <si>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</si>
  <si>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</si>
  <si>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</si>
  <si>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</si>
  <si>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</si>
  <si>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</si>
  <si>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</si>
  <si>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</si>
  <si>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</si>
  <si>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</si>
  <si>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</si>
  <si>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</si>
  <si>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</si>
  <si>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</si>
  <si>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</si>
  <si>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</si>
  <si>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</si>
  <si>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</si>
  <si>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</si>
  <si>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</si>
  <si>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</si>
  <si>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</si>
  <si>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</si>
  <si>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</si>
  <si>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</si>
  <si>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</si>
  <si>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</si>
  <si>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</si>
  <si>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</si>
  <si>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</si>
  <si>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</si>
  <si>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</si>
  <si>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</si>
  <si>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</si>
  <si>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</si>
  <si>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</si>
  <si>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</si>
  <si>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</si>
  <si>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</si>
  <si>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</si>
  <si>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</si>
  <si>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</si>
  <si>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</si>
  <si>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</si>
  <si>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</si>
  <si>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</si>
  <si>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</si>
  <si>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</si>
  <si>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</si>
  <si>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</si>
  <si>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</si>
  <si>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</si>
  <si>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</si>
  <si>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</si>
  <si>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</si>
  <si>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</si>
  <si>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</si>
  <si>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</si>
  <si>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</si>
  <si>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</si>
  <si>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</si>
  <si>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</si>
  <si>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</si>
  <si>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</si>
  <si>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</si>
  <si>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</si>
  <si>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</si>
  <si>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</si>
  <si>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</si>
  <si>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</si>
  <si>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</si>
  <si>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</si>
  <si>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</si>
  <si>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</si>
  <si>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</si>
  <si>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</si>
  <si>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</si>
  <si>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</si>
  <si>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</si>
  <si>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</si>
  <si>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</si>
  <si>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</si>
  <si>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</si>
  <si>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</si>
  <si>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</si>
  <si>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</si>
  <si>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</si>
  <si>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</si>
  <si>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</si>
  <si>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</si>
  <si>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</si>
  <si>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</si>
  <si>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</si>
  <si>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</si>
  <si>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</si>
  <si>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</si>
  <si>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</si>
  <si>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</si>
  <si>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</si>
  <si>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</si>
  <si>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</si>
  <si>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</si>
  <si>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</si>
  <si>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</si>
  <si>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SD7062</t>
  </si>
  <si>
    <t>NACA0021</t>
  </si>
  <si>
    <t>2131 W</t>
  </si>
  <si>
    <t>JB_{V1}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</si>
</sst>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214</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zoomScale="166" workbookViewId="0">
      <selection activeCell="A2" activeCellId="2" sqref="A5:XFD5 A3:XFD3 A2:XFD2"/>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215</v>
      </c>
      <c r="B2" s="4" t="s">
        <v>235</v>
      </c>
      <c r="C2" s="4">
        <v>0</v>
      </c>
      <c r="D2" s="4">
        <v>0.18</v>
      </c>
      <c r="E2" s="4">
        <v>0.3</v>
      </c>
      <c r="F2" s="4">
        <v>27</v>
      </c>
      <c r="G2" s="4">
        <v>4</v>
      </c>
      <c r="H2" s="4">
        <f t="shared" ref="H2:H3" si="0">F2/G2</f>
        <v>6.75</v>
      </c>
      <c r="I2" s="4">
        <v>12.56</v>
      </c>
      <c r="J2" s="4">
        <v>0</v>
      </c>
      <c r="K2" s="4">
        <v>280</v>
      </c>
      <c r="L2" s="4">
        <v>1</v>
      </c>
      <c r="M2" s="4">
        <v>1</v>
      </c>
      <c r="N2" s="4">
        <v>174</v>
      </c>
      <c r="O2" s="4">
        <v>380</v>
      </c>
      <c r="P2" s="4">
        <v>7.32</v>
      </c>
      <c r="Q2" s="4">
        <v>0.67200000000000004</v>
      </c>
      <c r="R2" s="4">
        <v>0</v>
      </c>
      <c r="S2" s="4">
        <v>0</v>
      </c>
      <c r="T2" s="4">
        <v>1.1000000000000001</v>
      </c>
      <c r="U2" s="4">
        <v>36.6</v>
      </c>
      <c r="V2" s="4">
        <v>80</v>
      </c>
      <c r="W2" s="4">
        <v>3.5</v>
      </c>
      <c r="X2" s="4">
        <v>0.56999999999999995</v>
      </c>
      <c r="Y2" s="4">
        <v>0</v>
      </c>
      <c r="Z2" s="4">
        <v>3.61</v>
      </c>
      <c r="AA2" s="4">
        <v>1.1000000000000001</v>
      </c>
      <c r="AB2" s="4">
        <v>0</v>
      </c>
      <c r="AC2" s="4">
        <v>0</v>
      </c>
      <c r="AD2" s="4">
        <v>0</v>
      </c>
      <c r="AE2" s="4">
        <v>0</v>
      </c>
      <c r="AF2" s="4">
        <v>0</v>
      </c>
      <c r="AG2" s="4">
        <v>0</v>
      </c>
      <c r="AH2" s="4">
        <v>0</v>
      </c>
      <c r="AI2" s="4">
        <v>11.2</v>
      </c>
      <c r="AJ2" s="4">
        <v>25</v>
      </c>
      <c r="AK2" s="4">
        <v>1.6</v>
      </c>
      <c r="AL2" s="4">
        <v>0.4</v>
      </c>
      <c r="AM2" s="4">
        <v>0</v>
      </c>
      <c r="AN2" s="4">
        <v>4</v>
      </c>
      <c r="AO2" s="4">
        <v>1.1000000000000001</v>
      </c>
      <c r="AP2" s="4">
        <v>0</v>
      </c>
      <c r="AQ2" s="4">
        <v>0</v>
      </c>
      <c r="AR2" s="4">
        <v>0</v>
      </c>
      <c r="AS2" s="4">
        <v>0</v>
      </c>
      <c r="AT2" s="4">
        <v>0</v>
      </c>
      <c r="AU2" s="4">
        <v>0</v>
      </c>
      <c r="AV2" s="4">
        <v>0</v>
      </c>
    </row>
    <row r="3" spans="1:48" x14ac:dyDescent="0.2">
      <c r="A3" t="s">
        <v>242</v>
      </c>
      <c r="B3" s="4" t="s">
        <v>235</v>
      </c>
      <c r="C3" s="4">
        <v>0</v>
      </c>
      <c r="D3" s="4">
        <v>4.7300000000000002E-2</v>
      </c>
      <c r="E3" s="4">
        <v>0.20810000000000001</v>
      </c>
      <c r="F3" s="4">
        <v>3.9470000000000001</v>
      </c>
      <c r="G3" s="4">
        <v>0.49199999999999999</v>
      </c>
      <c r="H3" s="4">
        <f t="shared" si="0"/>
        <v>8.0223577235772368</v>
      </c>
      <c r="I3" s="4">
        <f>PI()*(G3/2)^2</f>
        <v>0.19011662102463991</v>
      </c>
      <c r="J3" s="4">
        <v>0</v>
      </c>
      <c r="K3" s="4">
        <f>F3*G3</f>
        <v>1.941924</v>
      </c>
      <c r="L3" s="4">
        <v>1.1000000000000001</v>
      </c>
      <c r="M3" s="4">
        <v>2</v>
      </c>
      <c r="N3" s="4">
        <v>10.7639</v>
      </c>
      <c r="O3" s="4">
        <f>2*N3</f>
        <v>21.527799999999999</v>
      </c>
      <c r="P3" s="4">
        <v>4.76</v>
      </c>
      <c r="Q3" s="4">
        <v>0</v>
      </c>
      <c r="R3" s="4">
        <v>0</v>
      </c>
      <c r="S3" s="4">
        <v>0</v>
      </c>
      <c r="T3" s="4">
        <v>1.4</v>
      </c>
      <c r="U3" s="4">
        <v>6.7270000000000003</v>
      </c>
      <c r="V3" s="4">
        <f>U3*2</f>
        <v>13.454000000000001</v>
      </c>
      <c r="W3" s="4">
        <v>3</v>
      </c>
      <c r="X3" s="4">
        <v>0</v>
      </c>
      <c r="Y3" s="4">
        <v>0</v>
      </c>
      <c r="Z3" s="4">
        <v>1.498</v>
      </c>
      <c r="AA3" s="4">
        <v>1.4</v>
      </c>
      <c r="AB3" s="4">
        <v>0</v>
      </c>
      <c r="AC3" s="4">
        <v>0</v>
      </c>
      <c r="AD3" s="4">
        <v>0</v>
      </c>
      <c r="AE3" s="4">
        <v>0</v>
      </c>
      <c r="AF3" s="4">
        <v>0</v>
      </c>
      <c r="AG3" s="4">
        <v>0</v>
      </c>
      <c r="AH3" s="4">
        <v>0</v>
      </c>
      <c r="AI3" s="4">
        <v>1.4962</v>
      </c>
      <c r="AJ3" s="4">
        <f>2*AI3</f>
        <v>2.9923999999999999</v>
      </c>
      <c r="AK3" s="4">
        <v>1.6</v>
      </c>
      <c r="AL3" s="4">
        <v>0.4</v>
      </c>
      <c r="AM3" s="4">
        <v>0</v>
      </c>
      <c r="AN3" s="4">
        <v>0.37140000000000001</v>
      </c>
      <c r="AO3" s="4">
        <v>1.1000000000000001</v>
      </c>
      <c r="AP3" s="4">
        <v>0</v>
      </c>
      <c r="AQ3" s="4">
        <v>0</v>
      </c>
      <c r="AR3" s="4">
        <v>0</v>
      </c>
      <c r="AS3" s="4">
        <v>0</v>
      </c>
      <c r="AT3" s="4">
        <v>0</v>
      </c>
      <c r="AU3" s="4">
        <v>0</v>
      </c>
      <c r="AV3" s="4">
        <v>0</v>
      </c>
    </row>
    <row r="16" spans="1:48"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tabSelected="1" workbookViewId="0">
      <selection activeCell="A5" activeCellId="2" sqref="A2:XFD2 A3:XFD3 A5:XFD5"/>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Electric</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t="s">
        <v>180</v>
      </c>
      <c r="AR2" s="10">
        <v>0.04</v>
      </c>
      <c r="AS2" s="10">
        <v>0.3</v>
      </c>
      <c r="AT2" s="10">
        <v>0</v>
      </c>
      <c r="AU2" s="10">
        <v>0</v>
      </c>
      <c r="AV2" s="10">
        <v>0</v>
      </c>
      <c r="AW2" s="10" t="s">
        <v>180</v>
      </c>
      <c r="AX2" s="10">
        <v>0.04</v>
      </c>
      <c r="AY2" s="10">
        <v>0.3</v>
      </c>
      <c r="AZ2" s="10">
        <v>0</v>
      </c>
      <c r="BA2" s="10">
        <v>0</v>
      </c>
      <c r="BB2" s="10">
        <v>0</v>
      </c>
    </row>
    <row r="3" spans="1:54" x14ac:dyDescent="0.2">
      <c r="A3" t="s">
        <v>242</v>
      </c>
      <c r="B3" s="10" t="s">
        <v>239</v>
      </c>
      <c r="C3" s="10">
        <v>0.14000000000000001</v>
      </c>
      <c r="D3" s="10">
        <v>0.255</v>
      </c>
      <c r="E3" s="10">
        <v>-0.1431</v>
      </c>
      <c r="F3" s="10">
        <v>-5.0000000000000001E-3</v>
      </c>
      <c r="G3" s="10">
        <v>0.10730000000000001</v>
      </c>
      <c r="H3" s="10">
        <v>0.20549999999999999</v>
      </c>
      <c r="I3" s="10">
        <v>0.29360000000000003</v>
      </c>
      <c r="J3" s="10">
        <v>0.44130000000000003</v>
      </c>
      <c r="K3" s="10">
        <v>0.55389999999999995</v>
      </c>
      <c r="L3" s="10">
        <v>0.6593</v>
      </c>
      <c r="M3" s="10">
        <v>0.76270000000000004</v>
      </c>
      <c r="N3" s="10">
        <v>0.86850000000000005</v>
      </c>
      <c r="O3" s="10">
        <v>0.97030000000000005</v>
      </c>
      <c r="P3" s="10">
        <v>1.0701000000000001</v>
      </c>
      <c r="Q3" s="10">
        <v>1.1707000000000001</v>
      </c>
      <c r="R3" s="10">
        <v>1.2575000000000001</v>
      </c>
      <c r="S3" s="10">
        <v>1.3427</v>
      </c>
      <c r="T3" s="10">
        <v>1.4209000000000001</v>
      </c>
      <c r="U3" s="10">
        <v>1.4866999999999999</v>
      </c>
      <c r="V3" s="10">
        <v>1.5385</v>
      </c>
      <c r="W3" s="10">
        <v>1.5978000000000001</v>
      </c>
      <c r="X3" s="10">
        <v>3.032E-2</v>
      </c>
      <c r="Y3" s="10">
        <v>2.435E-2</v>
      </c>
      <c r="Z3" s="10">
        <v>1.9900000000000001E-2</v>
      </c>
      <c r="AA3" s="10">
        <v>1.8790000000000001E-2</v>
      </c>
      <c r="AB3" s="10">
        <v>1.8429999999999998E-2</v>
      </c>
      <c r="AC3" s="10">
        <v>1.7649999999999999E-2</v>
      </c>
      <c r="AD3" s="10">
        <v>1.7919999999999998E-2</v>
      </c>
      <c r="AE3" s="10">
        <v>1.84E-2</v>
      </c>
      <c r="AF3" s="10">
        <v>1.9290000000000002E-2</v>
      </c>
      <c r="AG3" s="10">
        <v>2.018E-2</v>
      </c>
      <c r="AH3" s="10">
        <v>2.147E-2</v>
      </c>
      <c r="AI3" s="10">
        <v>2.2919999999999999E-2</v>
      </c>
      <c r="AJ3" s="10">
        <v>2.4580000000000001E-2</v>
      </c>
      <c r="AK3" s="10">
        <v>2.6849999999999999E-2</v>
      </c>
      <c r="AL3" s="10">
        <v>2.9309999999999999E-2</v>
      </c>
      <c r="AM3" s="10">
        <v>3.2190000000000003E-2</v>
      </c>
      <c r="AN3" s="10">
        <v>3.567E-2</v>
      </c>
      <c r="AO3" s="10">
        <v>3.9809999999999998E-2</v>
      </c>
      <c r="AP3" s="10">
        <v>1.7520000000000001E-2</v>
      </c>
      <c r="AQ3" s="10" t="s">
        <v>240</v>
      </c>
      <c r="AR3" s="10">
        <v>0.21</v>
      </c>
      <c r="AS3" s="10">
        <v>0.3</v>
      </c>
      <c r="AT3" s="10">
        <v>0</v>
      </c>
      <c r="AU3" s="10">
        <v>0</v>
      </c>
      <c r="AV3" s="10">
        <v>0</v>
      </c>
      <c r="AW3" s="10" t="s">
        <v>213</v>
      </c>
      <c r="AX3" s="10">
        <v>0.1</v>
      </c>
      <c r="AY3" s="10">
        <v>0.3</v>
      </c>
      <c r="AZ3" s="10">
        <v>0</v>
      </c>
      <c r="BA3" s="10">
        <v>0</v>
      </c>
      <c r="BB3" s="10">
        <v>0</v>
      </c>
    </row>
    <row r="16" spans="1:54"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64" workbookViewId="0">
      <selection activeCell="B7" sqref="B7"/>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181</v>
      </c>
      <c r="C1" s="20" t="s">
        <v>164</v>
      </c>
      <c r="D1" s="18" t="s">
        <v>188</v>
      </c>
      <c r="E1" s="18" t="s">
        <v>189</v>
      </c>
      <c r="F1" s="18" t="s">
        <v>182</v>
      </c>
      <c r="G1" s="18" t="s">
        <v>183</v>
      </c>
      <c r="H1" s="18" t="s">
        <v>168</v>
      </c>
      <c r="I1" s="19" t="s">
        <v>165</v>
      </c>
      <c r="J1" s="19" t="s">
        <v>166</v>
      </c>
      <c r="K1" s="19" t="s">
        <v>167</v>
      </c>
      <c r="L1" s="19" t="s">
        <v>238</v>
      </c>
      <c r="M1" s="30" t="s">
        <v>216</v>
      </c>
      <c r="N1" s="30" t="s">
        <v>217</v>
      </c>
      <c r="O1" s="30" t="s">
        <v>218</v>
      </c>
      <c r="P1" s="30" t="s">
        <v>219</v>
      </c>
      <c r="Q1" s="30" t="s">
        <v>220</v>
      </c>
      <c r="R1" s="30" t="s">
        <v>221</v>
      </c>
    </row>
    <row r="2" spans="1:18" x14ac:dyDescent="0.2">
      <c r="A2" t="s">
        <v>215</v>
      </c>
      <c r="B2" t="s">
        <v>187</v>
      </c>
      <c r="C2">
        <v>1</v>
      </c>
      <c r="D2">
        <v>0</v>
      </c>
      <c r="E2">
        <v>0</v>
      </c>
      <c r="F2">
        <v>0</v>
      </c>
      <c r="G2">
        <v>0</v>
      </c>
      <c r="H2">
        <v>0</v>
      </c>
      <c r="I2">
        <v>160</v>
      </c>
      <c r="J2">
        <v>0.39</v>
      </c>
      <c r="K2">
        <v>0.8</v>
      </c>
      <c r="L2">
        <v>0</v>
      </c>
      <c r="M2">
        <v>275</v>
      </c>
      <c r="N2">
        <v>0.9</v>
      </c>
      <c r="O2">
        <v>0.9</v>
      </c>
      <c r="P2">
        <v>0.9</v>
      </c>
      <c r="Q2">
        <v>200.47499999999999</v>
      </c>
      <c r="R2">
        <v>0.93</v>
      </c>
    </row>
    <row r="3" spans="1:18" x14ac:dyDescent="0.2">
      <c r="A3" t="s">
        <v>242</v>
      </c>
      <c r="B3" t="s">
        <v>187</v>
      </c>
      <c r="C3">
        <v>2</v>
      </c>
      <c r="D3">
        <v>0</v>
      </c>
      <c r="E3">
        <v>0</v>
      </c>
      <c r="F3">
        <v>0</v>
      </c>
      <c r="G3">
        <v>0</v>
      </c>
      <c r="H3">
        <v>0</v>
      </c>
      <c r="I3">
        <v>2.8576999999999999</v>
      </c>
      <c r="J3">
        <v>0.39</v>
      </c>
      <c r="K3">
        <v>0.7</v>
      </c>
      <c r="L3">
        <v>0.75</v>
      </c>
      <c r="M3">
        <v>300</v>
      </c>
      <c r="N3">
        <v>0.9</v>
      </c>
      <c r="O3">
        <v>0.9</v>
      </c>
      <c r="P3">
        <v>0.9</v>
      </c>
      <c r="Q3">
        <f>M3*N3*O3*P3</f>
        <v>218.70000000000002</v>
      </c>
      <c r="R3">
        <v>0.8</v>
      </c>
    </row>
    <row r="4" spans="1:18" x14ac:dyDescent="0.2">
      <c r="I4" t="s">
        <v>241</v>
      </c>
    </row>
    <row r="16" spans="1:18"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237</v>
      </c>
      <c r="B6" t="s">
        <v>223</v>
      </c>
    </row>
    <row r="7" spans="1:2" x14ac:dyDescent="0.2">
      <c r="A7" t="s">
        <v>222</v>
      </c>
      <c r="B7" t="s">
        <v>224</v>
      </c>
    </row>
    <row r="8" spans="1:2" x14ac:dyDescent="0.2">
      <c r="B8" s="28" t="s">
        <v>225</v>
      </c>
    </row>
    <row r="9" spans="1:2" x14ac:dyDescent="0.2">
      <c r="B9" t="s">
        <v>226</v>
      </c>
    </row>
    <row r="10" spans="1:2" x14ac:dyDescent="0.2">
      <c r="B10" s="28" t="s">
        <v>227</v>
      </c>
    </row>
    <row r="11" spans="1:2" x14ac:dyDescent="0.2">
      <c r="B11" t="s">
        <v>236</v>
      </c>
    </row>
    <row r="12" spans="1:2" x14ac:dyDescent="0.2">
      <c r="B12" s="28" t="s">
        <v>235</v>
      </c>
    </row>
    <row r="13" spans="1:2" x14ac:dyDescent="0.2">
      <c r="B13" t="s">
        <v>228</v>
      </c>
    </row>
    <row r="14" spans="1:2" x14ac:dyDescent="0.2">
      <c r="B14" t="s">
        <v>229</v>
      </c>
    </row>
    <row r="15" spans="1:2" x14ac:dyDescent="0.2">
      <c r="B15" t="s">
        <v>230</v>
      </c>
    </row>
    <row r="16" spans="1:2" x14ac:dyDescent="0.2">
      <c r="B16" t="s">
        <v>234</v>
      </c>
    </row>
    <row r="17" spans="2:2" x14ac:dyDescent="0.2">
      <c r="B17" t="s">
        <v>231</v>
      </c>
    </row>
    <row r="18" spans="2:2" x14ac:dyDescent="0.2">
      <c r="B18" t="s">
        <v>233</v>
      </c>
    </row>
    <row r="19" spans="2:2" x14ac:dyDescent="0.2">
      <c r="B19" t="s">
        <v>232</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2026-09-14T17:29:01Z</dcterms:modified>
</cp:coreProperties>
</file>