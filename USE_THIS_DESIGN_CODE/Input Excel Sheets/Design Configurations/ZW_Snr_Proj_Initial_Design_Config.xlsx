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09"/>
  <workbookPr filterPrivacy="1" defaultThemeVersion="166925"/>
  <xr:revisionPtr revIDLastSave="0" documentId="8_{D36BFF3C-2576-944B-B337-F280C52B8119}" xr6:coauthVersionLast="47" xr6:coauthVersionMax="47" xr10:uidLastSave="{00000000-0000-0000-0000-000000000000}"/>
  <bookViews>
    <workbookView xWindow="0" yWindow="500" windowWidth="28800" windowHeight="16220" activeTab="1" xr2:uid="{00000000-000D-0000-FFFF-FFFF00000000}"/>
  </bookViews>
  <sheets>
    <sheet name="Variable Reference" sheetId="15" r:id="rId1"/>
    <sheet name="Main_Input" sheetId="4" r:id="rId2"/>
    <sheet name="Airfoil_Data" sheetId="5" r:id="rId3"/>
    <sheet name="Component_Data" sheetId="16" r:id="rId4"/>
    <sheet name="Propulsion" sheetId="13" r:id="rId5"/>
    <sheet name="Lists" sheetId="14" r:id="rId6"/>
    <sheet name="Geometry Reference" sheetId="2" r:id="rId7"/>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 i="13" l="1"/>
  <c r="AJ2" i="4"/>
  <c r="V2" i="4"/>
  <c r="O2" i="4"/>
  <c r="K2" i="4"/>
  <c r="I2" i="4"/>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 authorId="0" shapeId="0" xr:uid="{00000000-0006-0000-0400-000001000000}">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00000000-0006-0000-0400-000002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00000000-0006-0000-0400-000003000000}">
      <text>
        <r>
          <rPr>
            <b/>
            <sz val="9"/>
            <color indexed="81"/>
            <rFont val="Tahoma"/>
            <family val="2"/>
          </rPr>
          <t>John Mah:</t>
        </r>
        <r>
          <rPr>
            <sz val="9"/>
            <color indexed="81"/>
            <rFont val="Tahoma"/>
            <family val="2"/>
          </rPr>
          <t xml:space="preserve">
Units:  lbf
Only input values if jet engine, otherwise input "0"</t>
        </r>
      </text>
    </comment>
    <comment ref="G1" authorId="0" shapeId="0" xr:uid="{00000000-0006-0000-0400-000004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00000000-0006-0000-0400-000005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00000000-0006-0000-0400-000006000000}">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00000000-0006-0000-0400-000007000000}">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00000000-0006-0000-0400-000008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sharedStrings.xml><?xml version="1.0" encoding="utf-8"?>
<sst xmlns="http://schemas.openxmlformats.org/spreadsheetml/2006/main" count="553" uniqueCount="289">
  <si>
    <t>Worksheet</t>
  </si>
  <si>
    <t>Variable Name</t>
  </si>
  <si>
    <t>Units</t>
  </si>
  <si>
    <t>Description</t>
  </si>
  <si>
    <t>Main_Input</t>
  </si>
  <si>
    <t>N/A</t>
  </si>
  <si>
    <t>User defined configuration number label.  Used to differentiate different designs or trade study variations in designs.</t>
  </si>
  <si>
    <t>ACType</t>
  </si>
  <si>
    <t>Aircraft Type. Used for calculating empty weight fraction based on models from Raymer Table 6.1 &amp; 6.2.</t>
  </si>
  <si>
    <t>altitude_o</t>
  </si>
  <si>
    <t>ft</t>
  </si>
  <si>
    <t>Design altitude.  Utilized to find standard atmosphere properties in model via the atmos function.  Value is typically left at sea level for conceptual design, but can be selected to represent the most prevalent or important mission altitude expected.</t>
  </si>
  <si>
    <t>M_o</t>
  </si>
  <si>
    <t>Estimate of designed Mach. Used to calculate Reynolds number for model analysis of skin friction drag.  Value should be selected to represent the most prevalent or important mission mach expected.</t>
  </si>
  <si>
    <t>M_max</t>
  </si>
  <si>
    <t>Max mach for design.</t>
  </si>
  <si>
    <t>Length_f</t>
  </si>
  <si>
    <t>Length of fuselage.</t>
  </si>
  <si>
    <t>Dia_f</t>
  </si>
  <si>
    <t>Maxium diameter of fuselage.</t>
  </si>
  <si>
    <t>Fine_f</t>
  </si>
  <si>
    <t>Fuselage fineness ratio.  Determined by dividing fuselage length by fuselage diameter.</t>
  </si>
  <si>
    <t>Amax_f</t>
  </si>
  <si>
    <t>ft^2</t>
  </si>
  <si>
    <t>Maximum fuselage cross-section area.</t>
  </si>
  <si>
    <t>Abase_f</t>
  </si>
  <si>
    <t>Fuselage base drag cross section area.  Determined by finding the cross section in the aft portion of the fuselage where the departure angle of the fuselage contour is &gt; 20 deg.  If this never occurs, then this value is zero.</t>
  </si>
  <si>
    <t>Swet_f</t>
  </si>
  <si>
    <t>Wetted area of fuselage equal to the total exposed surface area of the fuselage.</t>
  </si>
  <si>
    <t>Q_f</t>
  </si>
  <si>
    <t>Fuselage interference factor.  Default value is 1.0. for basic streamlined tube fuselage.  Can be &gt; 1.0 if significant fuselage protrusions exist.</t>
  </si>
  <si>
    <t>EWD</t>
  </si>
  <si>
    <t>Emperical Wave Drag Factor.  Example valuse:  1 = Ideal Sears-Haack Body, Typcial range for supersonic aircraft is 1.8 - 2.2 for clean, smoothly blended contoured design, 2.5 - 3 = Bumpy volume distribution.  An F-15 has an EWD around 2.9.</t>
  </si>
  <si>
    <t>Sref_w</t>
  </si>
  <si>
    <t>Wing planform area.  Projected 2-D area of the entire wing to include portions "hidden" within fuselage.  This area is used as the nondimensionalization scaling reference for all aerodynamic coefficients.</t>
  </si>
  <si>
    <t>Swet_w</t>
  </si>
  <si>
    <t xml:space="preserve">Wetted area of wing.  Accounts for all exposed (i.e. air touches it) surfaces of the wing (top and bottom surface must be accounted for). </t>
  </si>
  <si>
    <t>AR_w</t>
  </si>
  <si>
    <t>Aspect ratio of the wing.  See Wing Geometry reference sheet for equation.</t>
  </si>
  <si>
    <t>Taper_w</t>
  </si>
  <si>
    <t>Taper ratio of the wing (ratio of root chord to tip chord length). See Wing Geometry reference sheet for equation.</t>
  </si>
  <si>
    <t>Sweep_w</t>
  </si>
  <si>
    <t>deg</t>
  </si>
  <si>
    <t>Leading edge sweep of the main wing.</t>
  </si>
  <si>
    <t>QuarterSweep_w</t>
  </si>
  <si>
    <t>Sweep angle of the line connecting the quarter chord of the main wing from root to tip.</t>
  </si>
  <si>
    <t>Q_w</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</si>
  <si>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</si>
  <si>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Sref-h1</t>
  </si>
  <si>
    <t xml:space="preserve">Horizontal stabilizer #1 planform area.  Projected 2-D area of the entire horizontal tail to include portions "hidden" within fuselage. </t>
  </si>
  <si>
    <t>Swet_h1</t>
  </si>
  <si>
    <t xml:space="preserve">Wetted area of horizontal stabilizer #1.  Accounts for all exposed (i.e. air touches it) surfaces (top and bottom surface must be accounted for). </t>
  </si>
  <si>
    <t>AR_h1</t>
  </si>
  <si>
    <t>Aspect ratio of horizontal stabilizer #1. See Wing Geometry reference sheet for equation.</t>
  </si>
  <si>
    <t>Taper_h1</t>
  </si>
  <si>
    <t>Taper ratio of the horizontal stabilizer #1 (ratio of root chord to tip chord length). See Wing Geometry reference sheet for equation.</t>
  </si>
  <si>
    <t>Sweep_h1</t>
  </si>
  <si>
    <t>Leading edge sweep of the horizontal stabilizer #1.</t>
  </si>
  <si>
    <t>MAC_h1</t>
  </si>
  <si>
    <t>Estimate of the mean aerodynamic chord of the horizontal stabilizer #1.  Can roughly estimate by taking the average of the root chord and tip chord of the horizontal stabilizer.  Utilized to determine Reynolds number effects for horizontal tail.</t>
  </si>
  <si>
    <t>Q_h1</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</si>
  <si>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</si>
  <si>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Sref-h2</t>
  </si>
  <si>
    <t>Swet_h2</t>
  </si>
  <si>
    <t>AR_h2</t>
  </si>
  <si>
    <t>Aspect ratio of horizontal stabilizer #2. See Wing Geometry reference sheet for equation.</t>
  </si>
  <si>
    <t>Taper_h2</t>
  </si>
  <si>
    <t>Taper ratio of the horizontal stabilizer #2 (ratio of root chord to tip chord length). See Wing Geometry reference sheet for equation.</t>
  </si>
  <si>
    <t>Sweep_h2</t>
  </si>
  <si>
    <t>Leading edge sweep of the horizontal stabilizer #2.</t>
  </si>
  <si>
    <t>MAC_h2</t>
  </si>
  <si>
    <t>Estimate of the mean aerodynamic chord of the horizontal stabilizer #2.  Can roughly estimate by taking the average of the root chord and tip chord of the horizontal stabilizer.  Utilized to determine Reynolds number effects for horizontal tail.</t>
  </si>
  <si>
    <t>Q_h2</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</si>
  <si>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</si>
  <si>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Sref-v1</t>
  </si>
  <si>
    <t xml:space="preserve">Vertical stabilizer #1 planform area.  Projected 2-D area of the entire vertical tail to include portions "hidden" within fuselage. </t>
  </si>
  <si>
    <t>Swet_v1</t>
  </si>
  <si>
    <t xml:space="preserve">Wetted area of vertical stabilizer #1.  Accounts for all exposed (i.e. air touches it) surfaces (top and bottom surface must be accounted for). </t>
  </si>
  <si>
    <t>AR_v1</t>
  </si>
  <si>
    <t>Aspect ratio of vertical stabilizer #1. See Wing Geometry reference sheet for equation.</t>
  </si>
  <si>
    <t>Taper_v1</t>
  </si>
  <si>
    <t>Taper ratio of the vertical stabilizer #1 (ratio of root chord to tip chord length). See Wing Geometry reference sheet for equation.</t>
  </si>
  <si>
    <t>Sweep_v1</t>
  </si>
  <si>
    <t>Leading edge sweep of the vertical stabilizer #1.</t>
  </si>
  <si>
    <t>MAC_v1</t>
  </si>
  <si>
    <t>Estimate of the mean aerodynamic chord of the vertical stabilizer #1.  Can roughly estimate by taking the average of the root chord and tip chord of the vertical stabilizer.  Utilized to determine Reynolds number effects for vertical tail.</t>
  </si>
  <si>
    <t>Q_v1</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</si>
  <si>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</si>
  <si>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Sref-v2</t>
  </si>
  <si>
    <t xml:space="preserve">Vertical stabilizer #2 planform area.  Projected 2-D area of the entire vertical tail to include portions "hidden" within fuselage. </t>
  </si>
  <si>
    <t>Swet_v2</t>
  </si>
  <si>
    <t xml:space="preserve">Wetted area of vertical stabilizer #2.  Accounts for all exposed (i.e. air touches it) surfaces (top and bottom surface must be accounted for). </t>
  </si>
  <si>
    <t>AR_v2</t>
  </si>
  <si>
    <t>Aspect ratio of vertical stabilizer #2. See Wing Geometry reference sheet for equation.</t>
  </si>
  <si>
    <t>Taper_v2</t>
  </si>
  <si>
    <t>Taper ratio of the vertical stabilizer #2 (ratio of root chord to tip chord length). See Wing Geometry reference sheet for equation.</t>
  </si>
  <si>
    <t>Sweep_v2</t>
  </si>
  <si>
    <t>Leading edge sweep of the vertical stabilizer #2.</t>
  </si>
  <si>
    <t>MAC_v2</t>
  </si>
  <si>
    <t>Estimate of the mean aerodynamic chord of the vertical stabilizer #2.  Can roughly estimate by taking the average of the root chord and tip chord of the vertical stabilizer.  Utilized to determine Reynolds number effects for vertical tail.</t>
  </si>
  <si>
    <t>Q_v2</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</si>
  <si>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</si>
  <si>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</si>
  <si>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Config</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</si>
  <si>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</si>
  <si>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</si>
  <si>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</si>
  <si>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</si>
  <si>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</si>
  <si>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</si>
  <si>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</si>
  <si>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</si>
  <si>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</si>
  <si>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</si>
  <si>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</si>
  <si>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</si>
  <si>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</si>
  <si>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</si>
  <si>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</si>
  <si>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</si>
  <si>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</si>
  <si>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</si>
  <si>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</si>
  <si>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</si>
  <si>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</si>
  <si>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</si>
  <si>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</si>
  <si>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</si>
  <si>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</si>
  <si>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</si>
  <si>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</si>
  <si>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</si>
  <si>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</si>
  <si>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</si>
  <si>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</si>
  <si>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</si>
  <si>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</si>
  <si>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</si>
  <si>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</si>
  <si>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</si>
  <si>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</si>
  <si>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</si>
  <si>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</si>
  <si>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</si>
  <si>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PropType</t>
  </si>
  <si>
    <t>Type of propulsion utilized.  Pull down menu w/ limited options:  PROP_Fuel, PROP_Electric, JET_HBP_Turbofan,JET_LBP_Turbofan</t>
  </si>
  <si>
    <t>Number</t>
  </si>
  <si>
    <t>Number of engines / propulsion systems on aircraft.</t>
  </si>
  <si>
    <t>TA_mil_sl</t>
  </si>
  <si>
    <t>lb</t>
  </si>
  <si>
    <t>Static sea level uninstalled thrust without afterburner for a jet engine.  If using a prop driven aircraft, set to zero.</t>
  </si>
  <si>
    <t>TSFC_mil_sl</t>
  </si>
  <si>
    <t>(lb/hr/lb)</t>
  </si>
  <si>
    <t>Thrust specific fuel consupmtion without afterburner for a jet engine. If using a prop driven aircraft, set to zero.</t>
  </si>
  <si>
    <t>TA_AB_sl</t>
  </si>
  <si>
    <t>Static sea level uninstalled thrust with afterburner for a jet engine.  If using a prop driven aircraft or jet engine without afterburner, set to zero.</t>
  </si>
  <si>
    <t>TSFC_AB_sl</t>
  </si>
  <si>
    <t>Thrust specific fuel consupmtion with afterburner for a jet engine. If using a prop driven aircraft or a jet engine without afterburner, set to zero.</t>
  </si>
  <si>
    <t>Install_loss</t>
  </si>
  <si>
    <t>Installation losses for a jet engine.  Typically 20% = 0.2.</t>
  </si>
  <si>
    <t>PA_shp_sl</t>
  </si>
  <si>
    <t>hp</t>
  </si>
  <si>
    <t>Shaft or brake horsepower of engine driving a prop at sea level.  If using a jet engine, set to zero.</t>
  </si>
  <si>
    <t>SFC_sl</t>
  </si>
  <si>
    <t>(lb/hr/hp)</t>
  </si>
  <si>
    <t>Specific Fuel Consumption for prop engine.  If using a jet engine, set to zero.</t>
  </si>
  <si>
    <t>Prop_eff</t>
  </si>
  <si>
    <t>Propellor efficiency.</t>
  </si>
  <si>
    <t>Component_Data</t>
  </si>
  <si>
    <t>SkinThick_w</t>
  </si>
  <si>
    <t>Hollow skin wall thickness. Blank uses Thick_f from the same component row. Weight = density * wetted area * wall thickness * 1.05; internal structure is not included.</t>
  </si>
  <si>
    <t>SkinThick_h1</t>
  </si>
  <si>
    <t>SkinThick_h2</t>
  </si>
  <si>
    <t>SkinThick_v1</t>
  </si>
  <si>
    <t>SkinThick_v2</t>
  </si>
  <si>
    <t>Electric</t>
  </si>
  <si>
    <t>Homebuilt_Composite_Prop</t>
  </si>
  <si>
    <t>JB_{V1}</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</si>
  <si>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</si>
  <si>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</si>
  <si>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</si>
  <si>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</si>
  <si>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</si>
  <si>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</si>
  <si>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</si>
  <si>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</si>
  <si>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</si>
  <si>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</si>
  <si>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</si>
  <si>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</si>
  <si>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</si>
  <si>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</si>
  <si>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</si>
  <si>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</si>
  <si>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</si>
  <si>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</si>
  <si>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</si>
  <si>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</si>
  <si>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</si>
  <si>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</si>
  <si>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</si>
  <si>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</si>
  <si>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</si>
  <si>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</si>
  <si>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</si>
  <si>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</si>
  <si>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</si>
  <si>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</si>
  <si>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</si>
  <si>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</si>
  <si>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</si>
  <si>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</si>
  <si>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</si>
  <si>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</si>
  <si>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SD7062</t>
  </si>
  <si>
    <t>NACA0021</t>
  </si>
  <si>
    <t>NACA 0010</t>
  </si>
  <si>
    <t>W_nose</t>
  </si>
  <si>
    <t>Xcg_nose</t>
  </si>
  <si>
    <t>W_fuse</t>
  </si>
  <si>
    <t>Xcg_fuse</t>
  </si>
  <si>
    <t>W_wing</t>
  </si>
  <si>
    <t>Xcg_wing</t>
  </si>
  <si>
    <t>W_h1</t>
  </si>
  <si>
    <t>Xcg_h1</t>
  </si>
  <si>
    <t>W_h2</t>
  </si>
  <si>
    <t>Xcg_h2</t>
  </si>
  <si>
    <t>W_v1</t>
  </si>
  <si>
    <t>Xcg_v1</t>
  </si>
  <si>
    <t>W_v2</t>
  </si>
  <si>
    <t>Xcg_v2</t>
  </si>
  <si>
    <t>W_pay</t>
  </si>
  <si>
    <t>Xcg_pay</t>
  </si>
  <si>
    <t>W_ballast</t>
  </si>
  <si>
    <t>Xcg_ballast</t>
  </si>
  <si>
    <t>W_systems</t>
  </si>
  <si>
    <t>Xcg_systems</t>
  </si>
  <si>
    <t>X_LE_wing</t>
  </si>
  <si>
    <t>X_LE_h1</t>
  </si>
  <si>
    <t>X_LE_h2</t>
  </si>
  <si>
    <t>X_LE_v1</t>
  </si>
  <si>
    <t>X_LE_v2</t>
  </si>
  <si>
    <t>Fuse_Mat</t>
  </si>
  <si>
    <t>Wing_Mat</t>
  </si>
  <si>
    <t>h1_Mat</t>
  </si>
  <si>
    <t>h2_Mat</t>
  </si>
  <si>
    <t>v1_Mat</t>
  </si>
  <si>
    <t>v2_Mat</t>
  </si>
  <si>
    <t>Thick_f</t>
  </si>
  <si>
    <t>rho_LWPLA</t>
  </si>
  <si>
    <t>rho_bulk</t>
  </si>
  <si>
    <t>F16</t>
  </si>
  <si>
    <t>C172</t>
  </si>
  <si>
    <t>B747</t>
  </si>
  <si>
    <t>T38</t>
  </si>
  <si>
    <t>Tiltrotor Turboprop</t>
  </si>
  <si>
    <t>test</t>
  </si>
  <si>
    <t>0.0082021</t>
  </si>
  <si>
    <t>Prop_Dia</t>
  </si>
  <si>
    <t>Esb_ideal</t>
  </si>
  <si>
    <t>install_loss</t>
  </si>
  <si>
    <t>capacity_loss</t>
  </si>
  <si>
    <t>lifetime_loss</t>
  </si>
  <si>
    <t>Esb_Real</t>
  </si>
  <si>
    <t>eta_b2s</t>
  </si>
  <si>
    <t>PROP_Electric</t>
  </si>
  <si>
    <t>2131 W</t>
  </si>
  <si>
    <t>PROP_Fuel</t>
  </si>
  <si>
    <t>Jet_Fighter</t>
  </si>
  <si>
    <t>Jet_Trainer</t>
  </si>
  <si>
    <t>JET_HBP_Turbofan</t>
  </si>
  <si>
    <t>Jet_Transport</t>
  </si>
  <si>
    <t>JET_LBP_Turbofan</t>
  </si>
  <si>
    <t>Military_Cargo/Bomber</t>
  </si>
  <si>
    <t>PROP_Turboprop</t>
  </si>
  <si>
    <t>Business_Jet</t>
  </si>
  <si>
    <t>PROP_Turbocharged</t>
  </si>
  <si>
    <t>UAV_Jet</t>
  </si>
  <si>
    <t>GA_Metal_Single</t>
  </si>
  <si>
    <t>GA_Metal_Twin</t>
  </si>
  <si>
    <t>GA_Composite</t>
  </si>
  <si>
    <t>Homebuilt_Metal/wood_Prop</t>
  </si>
  <si>
    <t>Turboprop_Transport</t>
  </si>
  <si>
    <t>Sailplane_Unpowered</t>
  </si>
  <si>
    <t>Sailplane_Powered</t>
  </si>
  <si>
    <t>Ag_Aircraft_Prop</t>
  </si>
  <si>
    <t>Aerobatic_Prop</t>
  </si>
  <si>
    <t>Flying_Boat_Prop</t>
  </si>
  <si>
    <t>UAV_Prop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</si>
</sst>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Calibri"/>
      <family val="2"/>
      <scheme val="minor"/>
    </font>
    <font>
      <b/>
      <sz val="9"/>
      <color rgb="FF000000"/>
      <name val="Tahoma"/>
      <family val="2"/>
    </font>
    <font>
      <sz val="9"/>
      <color rgb="FF000000"/>
      <name val="Tahoma"/>
      <family val="2"/>
    </font>
    <font>
      <b/>
      <sz val="9"/>
      <color indexed="81"/>
      <name val="Tahoma"/>
      <family val="2"/>
    </font>
    <font>
      <sz val="9"/>
      <color indexed="81"/>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8"/>
        <bgColor indexed="64"/>
      </patternFill>
    </fill>
    <fill>
      <patternFill patternType="solid">
        <fgColor theme="7"/>
        <bgColor indexed="64"/>
      </patternFill>
    </fill>
    <fill>
      <patternFill patternType="solid">
        <fgColor rgb="FF92D050"/>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0" xfId="0" applyFont="1"/>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4" name="Picture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pType" displayName="PropType" ref="A1:A7" headerRowCount="0">
  <tableColumns count="1">
    <tableColumn id="1" xr3:uid="{00000000-0010-0000-0000-000001000000}"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pType3" displayName="PropType3" ref="B1:B19" headerRowCount="0">
  <tableColumns count="1">
    <tableColumn id="1" xr3:uid="{00000000-0010-0000-0100-000001000000}"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7"/>
  <sheetViews>
    <sheetView zoomScale="125" zoomScaleNormal="100" workbookViewId="0">
      <selection activeCell="D82" sqref="D82"/>
    </sheetView>
  </sheetViews>
  <sheetFormatPr baseColWidth="10" defaultColWidth="8.83203125" defaultRowHeight="15" x14ac:dyDescent="0.2"/>
  <cols>
    <col min="1" max="1" width="16.1640625" customWidth="1"/>
    <col min="2" max="2" width="13.83203125" customWidth="1"/>
    <col min="3" max="3" width="11.33203125" style="1" customWidth="1"/>
    <col min="4" max="4" width="104.5" style="2" customWidth="1"/>
  </cols>
  <sheetData>
    <row r="1" spans="1:4" ht="16" customHeight="1" x14ac:dyDescent="0.2">
      <c r="A1" s="3" t="s">
        <v>0</v>
      </c>
      <c r="B1" s="4" t="s">
        <v>1</v>
      </c>
      <c r="C1" s="4" t="s">
        <v>2</v>
      </c>
      <c r="D1" s="5" t="s">
        <v>3</v>
      </c>
    </row>
    <row r="2" spans="1:4" ht="16" customHeight="1" x14ac:dyDescent="0.2">
      <c r="A2" s="6" t="s">
        <v>4</v>
      </c>
      <c r="B2" s="6" t="s">
        <v>103</v>
      </c>
      <c r="C2" s="7" t="s">
        <v>5</v>
      </c>
      <c r="D2" s="8" t="s">
        <v>6</v>
      </c>
    </row>
    <row r="3" spans="1:4" ht="16" customHeight="1" x14ac:dyDescent="0.2">
      <c r="A3" s="6" t="s">
        <v>4</v>
      </c>
      <c r="B3" s="6" t="s">
        <v>7</v>
      </c>
      <c r="C3" s="7" t="s">
        <v>5</v>
      </c>
      <c r="D3" s="2" t="s">
        <v>8</v>
      </c>
    </row>
    <row r="4" spans="1:4" ht="32" customHeight="1" x14ac:dyDescent="0.2">
      <c r="A4" s="6" t="s">
        <v>4</v>
      </c>
      <c r="B4" s="6" t="s">
        <v>9</v>
      </c>
      <c r="C4" s="7" t="s">
        <v>10</v>
      </c>
      <c r="D4" s="8" t="s">
        <v>11</v>
      </c>
    </row>
    <row r="5" spans="1:4" ht="32" customHeight="1" x14ac:dyDescent="0.2">
      <c r="A5" s="6" t="s">
        <v>4</v>
      </c>
      <c r="B5" s="6" t="s">
        <v>12</v>
      </c>
      <c r="C5" s="7" t="s">
        <v>5</v>
      </c>
      <c r="D5" s="8" t="s">
        <v>13</v>
      </c>
    </row>
    <row r="6" spans="1:4" ht="16" customHeight="1" x14ac:dyDescent="0.2">
      <c r="A6" s="6" t="s">
        <v>4</v>
      </c>
      <c r="B6" s="6" t="s">
        <v>14</v>
      </c>
      <c r="C6" s="7" t="s">
        <v>5</v>
      </c>
      <c r="D6" s="8" t="s">
        <v>15</v>
      </c>
    </row>
    <row r="7" spans="1:4" ht="16" customHeight="1" x14ac:dyDescent="0.2">
      <c r="A7" s="6" t="s">
        <v>4</v>
      </c>
      <c r="B7" s="6" t="s">
        <v>16</v>
      </c>
      <c r="C7" s="7" t="s">
        <v>10</v>
      </c>
      <c r="D7" s="8" t="s">
        <v>17</v>
      </c>
    </row>
    <row r="8" spans="1:4" ht="16" customHeight="1" x14ac:dyDescent="0.2">
      <c r="A8" s="6" t="s">
        <v>4</v>
      </c>
      <c r="B8" s="6" t="s">
        <v>18</v>
      </c>
      <c r="C8" s="7" t="s">
        <v>10</v>
      </c>
      <c r="D8" s="8" t="s">
        <v>19</v>
      </c>
    </row>
    <row r="9" spans="1:4" ht="16" customHeight="1" x14ac:dyDescent="0.2">
      <c r="A9" s="6" t="s">
        <v>4</v>
      </c>
      <c r="B9" s="6" t="s">
        <v>20</v>
      </c>
      <c r="C9" s="7" t="s">
        <v>5</v>
      </c>
      <c r="D9" s="8" t="s">
        <v>21</v>
      </c>
    </row>
    <row r="10" spans="1:4" ht="16" customHeight="1" x14ac:dyDescent="0.2">
      <c r="A10" s="6" t="s">
        <v>4</v>
      </c>
      <c r="B10" s="6" t="s">
        <v>22</v>
      </c>
      <c r="C10" s="7" t="s">
        <v>23</v>
      </c>
      <c r="D10" s="8" t="s">
        <v>24</v>
      </c>
    </row>
    <row r="11" spans="1:4" ht="32" customHeight="1" x14ac:dyDescent="0.2">
      <c r="A11" s="6" t="s">
        <v>4</v>
      </c>
      <c r="B11" s="6" t="s">
        <v>25</v>
      </c>
      <c r="C11" s="7" t="s">
        <v>23</v>
      </c>
      <c r="D11" s="8" t="s">
        <v>26</v>
      </c>
    </row>
    <row r="12" spans="1:4" ht="16" customHeight="1" x14ac:dyDescent="0.2">
      <c r="A12" s="6" t="s">
        <v>4</v>
      </c>
      <c r="B12" s="6" t="s">
        <v>27</v>
      </c>
      <c r="C12" s="7" t="s">
        <v>23</v>
      </c>
      <c r="D12" s="8" t="s">
        <v>28</v>
      </c>
    </row>
    <row r="13" spans="1:4" ht="32" customHeight="1" x14ac:dyDescent="0.2">
      <c r="A13" s="6" t="s">
        <v>4</v>
      </c>
      <c r="B13" s="6" t="s">
        <v>29</v>
      </c>
      <c r="C13" s="7" t="s">
        <v>5</v>
      </c>
      <c r="D13" s="8" t="s">
        <v>30</v>
      </c>
    </row>
    <row r="14" spans="1:4" ht="32" customHeight="1" x14ac:dyDescent="0.2">
      <c r="A14" s="6" t="s">
        <v>4</v>
      </c>
      <c r="B14" s="6" t="s">
        <v>31</v>
      </c>
      <c r="C14" s="7" t="s">
        <v>5</v>
      </c>
      <c r="D14" s="8" t="s">
        <v>32</v>
      </c>
    </row>
    <row r="15" spans="1:4" ht="32" customHeight="1" x14ac:dyDescent="0.2">
      <c r="A15" s="6" t="s">
        <v>4</v>
      </c>
      <c r="B15" s="6" t="s">
        <v>33</v>
      </c>
      <c r="C15" s="7" t="s">
        <v>23</v>
      </c>
      <c r="D15" s="8" t="s">
        <v>34</v>
      </c>
    </row>
    <row r="16" spans="1:4" ht="16" customHeight="1" x14ac:dyDescent="0.2">
      <c r="A16" s="6" t="s">
        <v>4</v>
      </c>
      <c r="B16" s="6" t="s">
        <v>35</v>
      </c>
      <c r="C16" s="7" t="s">
        <v>23</v>
      </c>
      <c r="D16" s="8" t="s">
        <v>36</v>
      </c>
    </row>
    <row r="17" spans="1:4" ht="16" customHeight="1" x14ac:dyDescent="0.2">
      <c r="A17" s="6" t="s">
        <v>4</v>
      </c>
      <c r="B17" s="6" t="s">
        <v>37</v>
      </c>
      <c r="C17" s="7" t="s">
        <v>5</v>
      </c>
      <c r="D17" s="8" t="s">
        <v>38</v>
      </c>
    </row>
    <row r="18" spans="1:4" ht="16" customHeight="1" x14ac:dyDescent="0.2">
      <c r="A18" s="6" t="s">
        <v>4</v>
      </c>
      <c r="B18" s="6" t="s">
        <v>39</v>
      </c>
      <c r="C18" s="7" t="s">
        <v>5</v>
      </c>
      <c r="D18" s="8" t="s">
        <v>40</v>
      </c>
    </row>
    <row r="19" spans="1:4" ht="16" customHeight="1" x14ac:dyDescent="0.2">
      <c r="A19" s="6" t="s">
        <v>4</v>
      </c>
      <c r="B19" s="6" t="s">
        <v>41</v>
      </c>
      <c r="C19" s="7" t="s">
        <v>42</v>
      </c>
      <c r="D19" s="8" t="s">
        <v>43</v>
      </c>
    </row>
    <row r="20" spans="1:4" ht="16" customHeight="1" x14ac:dyDescent="0.2">
      <c r="A20" s="6" t="s">
        <v>4</v>
      </c>
      <c r="B20" s="6" t="s">
        <v>44</v>
      </c>
      <c r="C20" s="7" t="s">
        <v>42</v>
      </c>
      <c r="D20" s="8" t="s">
        <v>45</v>
      </c>
    </row>
    <row r="21" spans="1:4" ht="48" customHeight="1" x14ac:dyDescent="0.2">
      <c r="A21" s="6" t="s">
        <v>4</v>
      </c>
      <c r="B21" s="6" t="s">
        <v>46</v>
      </c>
      <c r="C21" s="7" t="s">
        <v>5</v>
      </c>
      <c r="D21" s="8" t="s">
        <v>47</v>
      </c>
    </row>
    <row r="22" spans="1:4" ht="28.5" customHeight="1" x14ac:dyDescent="0.2">
      <c r="A22" s="6" t="s">
        <v>4</v>
      </c>
      <c r="B22" s="6" t="s">
        <v>48</v>
      </c>
      <c r="C22" s="7" t="s">
        <v>23</v>
      </c>
      <c r="D22" s="8" t="s">
        <v>49</v>
      </c>
    </row>
    <row r="23" spans="1:4" ht="32" customHeight="1" x14ac:dyDescent="0.2">
      <c r="A23" s="6" t="s">
        <v>4</v>
      </c>
      <c r="B23" s="6" t="s">
        <v>50</v>
      </c>
      <c r="C23" s="7" t="s">
        <v>23</v>
      </c>
      <c r="D23" s="8" t="s">
        <v>51</v>
      </c>
    </row>
    <row r="24" spans="1:4" ht="16" customHeight="1" x14ac:dyDescent="0.2">
      <c r="A24" s="6" t="s">
        <v>4</v>
      </c>
      <c r="B24" s="6" t="s">
        <v>52</v>
      </c>
      <c r="C24" s="7" t="s">
        <v>5</v>
      </c>
      <c r="D24" s="8" t="s">
        <v>53</v>
      </c>
    </row>
    <row r="25" spans="1:4" ht="16" customHeight="1" x14ac:dyDescent="0.2">
      <c r="A25" s="6" t="s">
        <v>4</v>
      </c>
      <c r="B25" s="6" t="s">
        <v>54</v>
      </c>
      <c r="C25" s="7" t="s">
        <v>5</v>
      </c>
      <c r="D25" s="8" t="s">
        <v>55</v>
      </c>
    </row>
    <row r="26" spans="1:4" ht="16" customHeight="1" x14ac:dyDescent="0.2">
      <c r="A26" s="6" t="s">
        <v>4</v>
      </c>
      <c r="B26" s="6" t="s">
        <v>56</v>
      </c>
      <c r="C26" s="7" t="s">
        <v>42</v>
      </c>
      <c r="D26" s="8" t="s">
        <v>57</v>
      </c>
    </row>
    <row r="27" spans="1:4" ht="32" customHeight="1" x14ac:dyDescent="0.2">
      <c r="A27" s="6" t="s">
        <v>4</v>
      </c>
      <c r="B27" s="6" t="s">
        <v>58</v>
      </c>
      <c r="C27" s="7" t="s">
        <v>10</v>
      </c>
      <c r="D27" s="8" t="s">
        <v>59</v>
      </c>
    </row>
    <row r="28" spans="1:4" ht="48" customHeight="1" x14ac:dyDescent="0.2">
      <c r="A28" s="6" t="s">
        <v>4</v>
      </c>
      <c r="B28" s="6" t="s">
        <v>60</v>
      </c>
      <c r="C28" s="7" t="s">
        <v>5</v>
      </c>
      <c r="D28" s="8" t="s">
        <v>61</v>
      </c>
    </row>
    <row r="29" spans="1:4" ht="16" customHeight="1" x14ac:dyDescent="0.2">
      <c r="A29" s="6" t="s">
        <v>4</v>
      </c>
      <c r="B29" s="6" t="s">
        <v>62</v>
      </c>
      <c r="C29" s="7" t="s">
        <v>23</v>
      </c>
      <c r="D29" s="8" t="s">
        <v>49</v>
      </c>
    </row>
    <row r="30" spans="1:4" ht="32" customHeight="1" x14ac:dyDescent="0.2">
      <c r="A30" s="6" t="s">
        <v>4</v>
      </c>
      <c r="B30" s="6" t="s">
        <v>63</v>
      </c>
      <c r="C30" s="7" t="s">
        <v>23</v>
      </c>
      <c r="D30" s="8" t="s">
        <v>51</v>
      </c>
    </row>
    <row r="31" spans="1:4" ht="16" customHeight="1" x14ac:dyDescent="0.2">
      <c r="A31" s="6" t="s">
        <v>4</v>
      </c>
      <c r="B31" s="6" t="s">
        <v>64</v>
      </c>
      <c r="C31" s="7" t="s">
        <v>5</v>
      </c>
      <c r="D31" s="8" t="s">
        <v>65</v>
      </c>
    </row>
    <row r="32" spans="1:4" ht="16" customHeight="1" x14ac:dyDescent="0.2">
      <c r="A32" s="6" t="s">
        <v>4</v>
      </c>
      <c r="B32" s="6" t="s">
        <v>66</v>
      </c>
      <c r="C32" s="7" t="s">
        <v>5</v>
      </c>
      <c r="D32" s="8" t="s">
        <v>67</v>
      </c>
    </row>
    <row r="33" spans="1:4" ht="16" customHeight="1" x14ac:dyDescent="0.2">
      <c r="A33" s="6" t="s">
        <v>4</v>
      </c>
      <c r="B33" s="6" t="s">
        <v>68</v>
      </c>
      <c r="C33" s="7" t="s">
        <v>42</v>
      </c>
      <c r="D33" s="8" t="s">
        <v>69</v>
      </c>
    </row>
    <row r="34" spans="1:4" ht="32" customHeight="1" x14ac:dyDescent="0.2">
      <c r="A34" s="6" t="s">
        <v>4</v>
      </c>
      <c r="B34" s="6" t="s">
        <v>70</v>
      </c>
      <c r="C34" s="7" t="s">
        <v>10</v>
      </c>
      <c r="D34" s="8" t="s">
        <v>71</v>
      </c>
    </row>
    <row r="35" spans="1:4" ht="48" customHeight="1" x14ac:dyDescent="0.2">
      <c r="A35" s="6" t="s">
        <v>4</v>
      </c>
      <c r="B35" s="6" t="s">
        <v>72</v>
      </c>
      <c r="C35" s="7" t="s">
        <v>5</v>
      </c>
      <c r="D35" s="8" t="s">
        <v>73</v>
      </c>
    </row>
    <row r="36" spans="1:4" ht="16" customHeight="1" x14ac:dyDescent="0.2">
      <c r="A36" s="6" t="s">
        <v>4</v>
      </c>
      <c r="B36" s="6" t="s">
        <v>74</v>
      </c>
      <c r="C36" s="7" t="s">
        <v>23</v>
      </c>
      <c r="D36" s="8" t="s">
        <v>75</v>
      </c>
    </row>
    <row r="37" spans="1:4" ht="32" customHeight="1" x14ac:dyDescent="0.2">
      <c r="A37" s="6" t="s">
        <v>4</v>
      </c>
      <c r="B37" s="6" t="s">
        <v>76</v>
      </c>
      <c r="C37" s="7" t="s">
        <v>23</v>
      </c>
      <c r="D37" s="8" t="s">
        <v>77</v>
      </c>
    </row>
    <row r="38" spans="1:4" ht="16" customHeight="1" x14ac:dyDescent="0.2">
      <c r="A38" s="6" t="s">
        <v>4</v>
      </c>
      <c r="B38" s="6" t="s">
        <v>78</v>
      </c>
      <c r="C38" s="7" t="s">
        <v>5</v>
      </c>
      <c r="D38" s="8" t="s">
        <v>79</v>
      </c>
    </row>
    <row r="39" spans="1:4" ht="16" customHeight="1" x14ac:dyDescent="0.2">
      <c r="A39" s="6" t="s">
        <v>4</v>
      </c>
      <c r="B39" s="6" t="s">
        <v>80</v>
      </c>
      <c r="C39" s="7" t="s">
        <v>5</v>
      </c>
      <c r="D39" s="8" t="s">
        <v>81</v>
      </c>
    </row>
    <row r="40" spans="1:4" ht="16" customHeight="1" x14ac:dyDescent="0.2">
      <c r="A40" s="6" t="s">
        <v>4</v>
      </c>
      <c r="B40" s="6" t="s">
        <v>82</v>
      </c>
      <c r="C40" s="7" t="s">
        <v>42</v>
      </c>
      <c r="D40" s="8" t="s">
        <v>83</v>
      </c>
    </row>
    <row r="41" spans="1:4" ht="32" customHeight="1" x14ac:dyDescent="0.2">
      <c r="A41" s="6" t="s">
        <v>4</v>
      </c>
      <c r="B41" s="6" t="s">
        <v>84</v>
      </c>
      <c r="C41" s="7" t="s">
        <v>10</v>
      </c>
      <c r="D41" s="8" t="s">
        <v>85</v>
      </c>
    </row>
    <row r="42" spans="1:4" ht="48" customHeight="1" x14ac:dyDescent="0.2">
      <c r="A42" s="6" t="s">
        <v>4</v>
      </c>
      <c r="B42" s="6" t="s">
        <v>86</v>
      </c>
      <c r="C42" s="7" t="s">
        <v>5</v>
      </c>
      <c r="D42" s="8" t="s">
        <v>87</v>
      </c>
    </row>
    <row r="43" spans="1:4" ht="16" customHeight="1" x14ac:dyDescent="0.2">
      <c r="A43" s="6" t="s">
        <v>4</v>
      </c>
      <c r="B43" s="6" t="s">
        <v>88</v>
      </c>
      <c r="C43" s="7" t="s">
        <v>23</v>
      </c>
      <c r="D43" s="8" t="s">
        <v>89</v>
      </c>
    </row>
    <row r="44" spans="1:4" ht="32" customHeight="1" x14ac:dyDescent="0.2">
      <c r="A44" s="6" t="s">
        <v>4</v>
      </c>
      <c r="B44" s="6" t="s">
        <v>90</v>
      </c>
      <c r="C44" s="7" t="s">
        <v>23</v>
      </c>
      <c r="D44" s="8" t="s">
        <v>91</v>
      </c>
    </row>
    <row r="45" spans="1:4" ht="16" customHeight="1" x14ac:dyDescent="0.2">
      <c r="A45" s="6" t="s">
        <v>4</v>
      </c>
      <c r="B45" s="6" t="s">
        <v>92</v>
      </c>
      <c r="C45" s="7" t="s">
        <v>5</v>
      </c>
      <c r="D45" s="8" t="s">
        <v>93</v>
      </c>
    </row>
    <row r="46" spans="1:4" ht="16" customHeight="1" x14ac:dyDescent="0.2">
      <c r="A46" s="6" t="s">
        <v>4</v>
      </c>
      <c r="B46" s="6" t="s">
        <v>94</v>
      </c>
      <c r="C46" s="7" t="s">
        <v>5</v>
      </c>
      <c r="D46" s="8" t="s">
        <v>95</v>
      </c>
    </row>
    <row r="47" spans="1:4" ht="16" customHeight="1" x14ac:dyDescent="0.2">
      <c r="A47" s="6" t="s">
        <v>4</v>
      </c>
      <c r="B47" s="6" t="s">
        <v>96</v>
      </c>
      <c r="C47" s="7" t="s">
        <v>42</v>
      </c>
      <c r="D47" s="8" t="s">
        <v>97</v>
      </c>
    </row>
    <row r="48" spans="1:4" ht="32" customHeight="1" x14ac:dyDescent="0.2">
      <c r="A48" s="6" t="s">
        <v>4</v>
      </c>
      <c r="B48" s="6" t="s">
        <v>98</v>
      </c>
      <c r="C48" s="7" t="s">
        <v>10</v>
      </c>
      <c r="D48" s="8" t="s">
        <v>99</v>
      </c>
    </row>
    <row r="49" spans="1:4" ht="48" customHeight="1" x14ac:dyDescent="0.2">
      <c r="A49" s="6" t="s">
        <v>4</v>
      </c>
      <c r="B49" s="6" t="s">
        <v>100</v>
      </c>
      <c r="C49" s="7" t="s">
        <v>5</v>
      </c>
      <c r="D49" s="8" t="s">
        <v>101</v>
      </c>
    </row>
    <row r="50" spans="1:4" x14ac:dyDescent="0.2">
      <c r="A50" s="9"/>
      <c r="B50" s="9"/>
      <c r="C50" s="10"/>
      <c r="D50" s="11"/>
    </row>
    <row r="51" spans="1:4" ht="16" customHeight="1" x14ac:dyDescent="0.2">
      <c r="A51" s="6" t="s">
        <v>102</v>
      </c>
      <c r="B51" s="6" t="s">
        <v>103</v>
      </c>
      <c r="C51" s="7" t="s">
        <v>5</v>
      </c>
      <c r="D51" s="8" t="s">
        <v>104</v>
      </c>
    </row>
    <row r="52" spans="1:4" ht="16" customHeight="1" x14ac:dyDescent="0.2">
      <c r="A52" s="6" t="s">
        <v>102</v>
      </c>
      <c r="B52" s="6" t="s">
        <v>105</v>
      </c>
      <c r="C52" s="7" t="s">
        <v>5</v>
      </c>
      <c r="D52" s="8" t="s">
        <v>106</v>
      </c>
    </row>
    <row r="53" spans="1:4" ht="16" customHeight="1" x14ac:dyDescent="0.2">
      <c r="A53" s="6" t="s">
        <v>102</v>
      </c>
      <c r="B53" s="6" t="s">
        <v>107</v>
      </c>
      <c r="C53" s="7" t="s">
        <v>5</v>
      </c>
      <c r="D53" s="8" t="s">
        <v>108</v>
      </c>
    </row>
    <row r="54" spans="1:4" ht="16" customHeight="1" x14ac:dyDescent="0.2">
      <c r="A54" s="6" t="s">
        <v>102</v>
      </c>
      <c r="B54" s="6" t="s">
        <v>109</v>
      </c>
      <c r="C54" s="7" t="s">
        <v>5</v>
      </c>
      <c r="D54" s="8" t="s">
        <v>110</v>
      </c>
    </row>
    <row r="55" spans="1:4" ht="16" customHeight="1" x14ac:dyDescent="0.2">
      <c r="A55" s="6" t="s">
        <v>102</v>
      </c>
      <c r="B55" s="6" t="s">
        <v>111</v>
      </c>
      <c r="C55" s="7" t="s">
        <v>5</v>
      </c>
      <c r="D55" s="8" t="s">
        <v>112</v>
      </c>
    </row>
    <row r="56" spans="1:4" ht="16" customHeight="1" x14ac:dyDescent="0.2">
      <c r="A56" s="6" t="s">
        <v>102</v>
      </c>
      <c r="B56" s="6" t="s">
        <v>113</v>
      </c>
      <c r="C56" s="7" t="s">
        <v>5</v>
      </c>
      <c r="D56" s="8" t="s">
        <v>114</v>
      </c>
    </row>
    <row r="57" spans="1:4" ht="16" customHeight="1" x14ac:dyDescent="0.2">
      <c r="A57" s="6" t="s">
        <v>102</v>
      </c>
      <c r="B57" s="6" t="s">
        <v>115</v>
      </c>
      <c r="C57" s="7" t="s">
        <v>5</v>
      </c>
      <c r="D57" s="8" t="s">
        <v>116</v>
      </c>
    </row>
    <row r="58" spans="1:4" ht="16" customHeight="1" x14ac:dyDescent="0.2">
      <c r="A58" s="6" t="s">
        <v>102</v>
      </c>
      <c r="B58" s="6" t="s">
        <v>117</v>
      </c>
      <c r="C58" s="7" t="s">
        <v>5</v>
      </c>
      <c r="D58" s="8" t="s">
        <v>118</v>
      </c>
    </row>
    <row r="59" spans="1:4" ht="16" customHeight="1" x14ac:dyDescent="0.2">
      <c r="A59" s="6" t="s">
        <v>102</v>
      </c>
      <c r="B59" s="6" t="s">
        <v>119</v>
      </c>
      <c r="C59" s="7" t="s">
        <v>5</v>
      </c>
      <c r="D59" s="8" t="s">
        <v>120</v>
      </c>
    </row>
    <row r="60" spans="1:4" ht="16" customHeight="1" x14ac:dyDescent="0.2">
      <c r="A60" s="6" t="s">
        <v>102</v>
      </c>
      <c r="B60" s="6" t="s">
        <v>121</v>
      </c>
      <c r="C60" s="7" t="s">
        <v>5</v>
      </c>
      <c r="D60" s="8" t="s">
        <v>122</v>
      </c>
    </row>
    <row r="61" spans="1:4" ht="16" customHeight="1" x14ac:dyDescent="0.2">
      <c r="A61" s="6" t="s">
        <v>102</v>
      </c>
      <c r="B61" s="6" t="s">
        <v>123</v>
      </c>
      <c r="C61" s="7" t="s">
        <v>5</v>
      </c>
      <c r="D61" s="8" t="s">
        <v>124</v>
      </c>
    </row>
    <row r="62" spans="1:4" ht="16" customHeight="1" x14ac:dyDescent="0.2">
      <c r="A62" s="6" t="s">
        <v>102</v>
      </c>
      <c r="B62" s="6" t="s">
        <v>125</v>
      </c>
      <c r="C62" s="7" t="s">
        <v>5</v>
      </c>
      <c r="D62" s="8" t="s">
        <v>126</v>
      </c>
    </row>
    <row r="63" spans="1:4" ht="16" customHeight="1" x14ac:dyDescent="0.2">
      <c r="A63" s="6" t="s">
        <v>102</v>
      </c>
      <c r="B63" s="6" t="s">
        <v>127</v>
      </c>
      <c r="C63" s="7" t="s">
        <v>5</v>
      </c>
      <c r="D63" s="8" t="s">
        <v>128</v>
      </c>
    </row>
    <row r="64" spans="1:4" ht="16" customHeight="1" x14ac:dyDescent="0.2">
      <c r="A64" s="6" t="s">
        <v>102</v>
      </c>
      <c r="B64" s="6" t="s">
        <v>129</v>
      </c>
      <c r="C64" s="7" t="s">
        <v>5</v>
      </c>
      <c r="D64" s="8" t="s">
        <v>130</v>
      </c>
    </row>
    <row r="65" spans="1:4" ht="16" customHeight="1" x14ac:dyDescent="0.2">
      <c r="A65" s="6" t="s">
        <v>102</v>
      </c>
      <c r="B65" s="6" t="s">
        <v>131</v>
      </c>
      <c r="C65" s="7" t="s">
        <v>5</v>
      </c>
      <c r="D65" s="8" t="s">
        <v>132</v>
      </c>
    </row>
    <row r="66" spans="1:4" ht="16" customHeight="1" x14ac:dyDescent="0.2">
      <c r="A66" s="6" t="s">
        <v>102</v>
      </c>
      <c r="B66" s="6" t="s">
        <v>133</v>
      </c>
      <c r="C66" s="7" t="s">
        <v>5</v>
      </c>
      <c r="D66" s="8" t="s">
        <v>134</v>
      </c>
    </row>
    <row r="67" spans="1:4" ht="16" customHeight="1" x14ac:dyDescent="0.2">
      <c r="A67" s="6" t="s">
        <v>102</v>
      </c>
      <c r="B67" s="6" t="s">
        <v>135</v>
      </c>
      <c r="C67" s="7" t="s">
        <v>5</v>
      </c>
      <c r="D67" s="8" t="s">
        <v>136</v>
      </c>
    </row>
    <row r="68" spans="1:4" ht="16" customHeight="1" x14ac:dyDescent="0.2">
      <c r="A68" s="6" t="s">
        <v>102</v>
      </c>
      <c r="B68" s="6" t="s">
        <v>137</v>
      </c>
      <c r="C68" s="7" t="s">
        <v>5</v>
      </c>
      <c r="D68" s="8" t="s">
        <v>138</v>
      </c>
    </row>
    <row r="69" spans="1:4" ht="16" customHeight="1" x14ac:dyDescent="0.2">
      <c r="A69" s="6" t="s">
        <v>102</v>
      </c>
      <c r="B69" s="6" t="s">
        <v>139</v>
      </c>
      <c r="C69" s="7" t="s">
        <v>5</v>
      </c>
      <c r="D69" s="8" t="s">
        <v>140</v>
      </c>
    </row>
    <row r="70" spans="1:4" ht="16" customHeight="1" x14ac:dyDescent="0.2">
      <c r="A70" s="6" t="s">
        <v>102</v>
      </c>
      <c r="B70" s="6" t="s">
        <v>141</v>
      </c>
      <c r="C70" s="7" t="s">
        <v>5</v>
      </c>
      <c r="D70" s="8" t="s">
        <v>142</v>
      </c>
    </row>
    <row r="71" spans="1:4" x14ac:dyDescent="0.2">
      <c r="A71" s="12"/>
      <c r="B71" s="12"/>
      <c r="C71" s="10"/>
      <c r="D71" s="13"/>
    </row>
    <row r="72" spans="1:4" ht="16" customHeight="1" x14ac:dyDescent="0.2">
      <c r="A72" s="6" t="s">
        <v>143</v>
      </c>
      <c r="B72" s="6" t="s">
        <v>103</v>
      </c>
      <c r="C72" s="7" t="s">
        <v>5</v>
      </c>
      <c r="D72" s="8" t="s">
        <v>104</v>
      </c>
    </row>
    <row r="73" spans="1:4" ht="16" customHeight="1" x14ac:dyDescent="0.2">
      <c r="A73" s="6" t="s">
        <v>143</v>
      </c>
      <c r="B73" s="6" t="s">
        <v>144</v>
      </c>
      <c r="C73" s="7" t="s">
        <v>5</v>
      </c>
      <c r="D73" s="8" t="s">
        <v>145</v>
      </c>
    </row>
    <row r="74" spans="1:4" ht="16" customHeight="1" x14ac:dyDescent="0.2">
      <c r="A74" s="6" t="s">
        <v>143</v>
      </c>
      <c r="B74" s="6" t="s">
        <v>146</v>
      </c>
      <c r="C74" s="7" t="s">
        <v>5</v>
      </c>
      <c r="D74" s="8" t="s">
        <v>147</v>
      </c>
    </row>
    <row r="75" spans="1:4" ht="16" customHeight="1" x14ac:dyDescent="0.2">
      <c r="A75" s="6" t="s">
        <v>143</v>
      </c>
      <c r="B75" s="6" t="s">
        <v>148</v>
      </c>
      <c r="C75" s="7" t="s">
        <v>149</v>
      </c>
      <c r="D75" s="8" t="s">
        <v>150</v>
      </c>
    </row>
    <row r="76" spans="1:4" ht="16" customHeight="1" x14ac:dyDescent="0.2">
      <c r="A76" s="6" t="s">
        <v>143</v>
      </c>
      <c r="B76" s="6" t="s">
        <v>151</v>
      </c>
      <c r="C76" s="7" t="s">
        <v>152</v>
      </c>
      <c r="D76" s="8" t="s">
        <v>153</v>
      </c>
    </row>
    <row r="77" spans="1:4" ht="32" customHeight="1" x14ac:dyDescent="0.2">
      <c r="A77" s="6" t="s">
        <v>143</v>
      </c>
      <c r="B77" s="6" t="s">
        <v>154</v>
      </c>
      <c r="C77" s="7" t="s">
        <v>149</v>
      </c>
      <c r="D77" s="8" t="s">
        <v>155</v>
      </c>
    </row>
    <row r="78" spans="1:4" ht="32" customHeight="1" x14ac:dyDescent="0.2">
      <c r="A78" s="6" t="s">
        <v>143</v>
      </c>
      <c r="B78" s="6" t="s">
        <v>156</v>
      </c>
      <c r="C78" s="7" t="s">
        <v>152</v>
      </c>
      <c r="D78" s="8" t="s">
        <v>157</v>
      </c>
    </row>
    <row r="79" spans="1:4" ht="16" customHeight="1" x14ac:dyDescent="0.2">
      <c r="A79" s="6" t="s">
        <v>143</v>
      </c>
      <c r="B79" s="6" t="s">
        <v>158</v>
      </c>
      <c r="C79" s="7" t="s">
        <v>5</v>
      </c>
      <c r="D79" s="8" t="s">
        <v>159</v>
      </c>
    </row>
    <row r="80" spans="1:4" ht="16" customHeight="1" x14ac:dyDescent="0.2">
      <c r="A80" s="6" t="s">
        <v>143</v>
      </c>
      <c r="B80" s="6" t="s">
        <v>160</v>
      </c>
      <c r="C80" s="7" t="s">
        <v>161</v>
      </c>
      <c r="D80" s="8" t="s">
        <v>162</v>
      </c>
    </row>
    <row r="81" spans="1:4" ht="16" customHeight="1" x14ac:dyDescent="0.2">
      <c r="A81" s="6" t="s">
        <v>143</v>
      </c>
      <c r="B81" s="6" t="s">
        <v>163</v>
      </c>
      <c r="C81" s="7" t="s">
        <v>164</v>
      </c>
      <c r="D81" s="8" t="s">
        <v>165</v>
      </c>
    </row>
    <row r="82" spans="1:4" ht="16" customHeight="1" x14ac:dyDescent="0.2">
      <c r="A82" s="6" t="s">
        <v>143</v>
      </c>
      <c r="B82" s="6" t="s">
        <v>166</v>
      </c>
      <c r="C82" s="7" t="s">
        <v>5</v>
      </c>
      <c r="D82" s="8" t="s">
        <v>167</v>
      </c>
    </row>
    <row r="83" spans="1:4" x14ac:dyDescent="0.2">
      <c r="A83" t="s">
        <v>168</v>
      </c>
      <c r="B83" t="s">
        <v>169</v>
      </c>
      <c r="C83" t="s">
        <v>10</v>
      </c>
      <c r="D83" t="s">
        <v>170</v>
      </c>
    </row>
    <row r="84" spans="1:4" x14ac:dyDescent="0.2">
      <c r="A84" t="s">
        <v>168</v>
      </c>
      <c r="B84" t="s">
        <v>171</v>
      </c>
      <c r="C84" t="s">
        <v>10</v>
      </c>
      <c r="D84" t="s">
        <v>170</v>
      </c>
    </row>
    <row r="85" spans="1:4" x14ac:dyDescent="0.2">
      <c r="A85" t="s">
        <v>168</v>
      </c>
      <c r="B85" t="s">
        <v>172</v>
      </c>
      <c r="C85" t="s">
        <v>10</v>
      </c>
      <c r="D85" t="s">
        <v>170</v>
      </c>
    </row>
    <row r="86" spans="1:4" x14ac:dyDescent="0.2">
      <c r="A86" t="s">
        <v>168</v>
      </c>
      <c r="B86" t="s">
        <v>173</v>
      </c>
      <c r="C86" t="s">
        <v>10</v>
      </c>
      <c r="D86" t="s">
        <v>170</v>
      </c>
    </row>
    <row r="87" spans="1:4" x14ac:dyDescent="0.2">
      <c r="A87" t="s">
        <v>168</v>
      </c>
      <c r="B87" t="s">
        <v>174</v>
      </c>
      <c r="C87" t="s">
        <v>10</v>
      </c>
      <c r="D87" t="s">
        <v>170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
  <sheetViews>
    <sheetView tabSelected="1" topLeftCell="AB1" zoomScale="166" zoomScaleNormal="100" workbookViewId="0">
      <selection activeCell="AL4" sqref="AL4"/>
    </sheetView>
  </sheetViews>
  <sheetFormatPr baseColWidth="10" defaultColWidth="8.83203125" defaultRowHeight="15" x14ac:dyDescent="0.2"/>
  <cols>
    <col min="1" max="1" width="8.83203125" style="7" customWidth="1"/>
    <col min="2" max="2" width="26.6640625" style="7" customWidth="1"/>
    <col min="3" max="3" width="9.83203125" style="7" customWidth="1"/>
    <col min="4" max="12" width="8.83203125" style="7" customWidth="1"/>
    <col min="13" max="13" width="6.83203125" style="7" customWidth="1"/>
    <col min="14" max="14" width="8.83203125" style="7" customWidth="1"/>
    <col min="15" max="15" width="12" style="7" customWidth="1"/>
    <col min="16" max="16" width="8.83203125" style="7" customWidth="1"/>
    <col min="17" max="17" width="10.5" style="7" customWidth="1"/>
    <col min="18" max="18" width="16.1640625" style="7" customWidth="1"/>
    <col min="19" max="19" width="15.83203125" style="7" customWidth="1"/>
    <col min="20" max="35" width="8.83203125" style="7" customWidth="1"/>
    <col min="36" max="36" width="12" style="7" customWidth="1"/>
    <col min="37" max="37" width="8.83203125" style="7" customWidth="1"/>
    <col min="38" max="16384" width="8.83203125" style="7"/>
  </cols>
  <sheetData>
    <row r="1" spans="1:48" x14ac:dyDescent="0.2">
      <c r="A1" s="14" t="s">
        <v>103</v>
      </c>
      <c r="B1" s="14" t="s">
        <v>7</v>
      </c>
      <c r="C1" s="14" t="s">
        <v>9</v>
      </c>
      <c r="D1" s="14" t="s">
        <v>12</v>
      </c>
      <c r="E1" s="14" t="s">
        <v>14</v>
      </c>
      <c r="F1" s="14" t="s">
        <v>16</v>
      </c>
      <c r="G1" s="14" t="s">
        <v>18</v>
      </c>
      <c r="H1" s="14" t="s">
        <v>20</v>
      </c>
      <c r="I1" s="14" t="s">
        <v>22</v>
      </c>
      <c r="J1" s="14" t="s">
        <v>25</v>
      </c>
      <c r="K1" s="14" t="s">
        <v>27</v>
      </c>
      <c r="L1" s="14" t="s">
        <v>29</v>
      </c>
      <c r="M1" s="14" t="s">
        <v>31</v>
      </c>
      <c r="N1" s="15" t="s">
        <v>33</v>
      </c>
      <c r="O1" s="15" t="s">
        <v>35</v>
      </c>
      <c r="P1" s="15" t="s">
        <v>37</v>
      </c>
      <c r="Q1" s="15" t="s">
        <v>39</v>
      </c>
      <c r="R1" s="15" t="s">
        <v>41</v>
      </c>
      <c r="S1" s="15" t="s">
        <v>44</v>
      </c>
      <c r="T1" s="15" t="s">
        <v>46</v>
      </c>
      <c r="U1" s="16" t="s">
        <v>48</v>
      </c>
      <c r="V1" s="16" t="s">
        <v>50</v>
      </c>
      <c r="W1" s="16" t="s">
        <v>52</v>
      </c>
      <c r="X1" s="16" t="s">
        <v>54</v>
      </c>
      <c r="Y1" s="16" t="s">
        <v>56</v>
      </c>
      <c r="Z1" s="16" t="s">
        <v>58</v>
      </c>
      <c r="AA1" s="16" t="s">
        <v>60</v>
      </c>
      <c r="AB1" s="17" t="s">
        <v>62</v>
      </c>
      <c r="AC1" s="17" t="s">
        <v>63</v>
      </c>
      <c r="AD1" s="17" t="s">
        <v>64</v>
      </c>
      <c r="AE1" s="17" t="s">
        <v>66</v>
      </c>
      <c r="AF1" s="17" t="s">
        <v>68</v>
      </c>
      <c r="AG1" s="17" t="s">
        <v>70</v>
      </c>
      <c r="AH1" s="17" t="s">
        <v>72</v>
      </c>
      <c r="AI1" s="18" t="s">
        <v>74</v>
      </c>
      <c r="AJ1" s="18" t="s">
        <v>76</v>
      </c>
      <c r="AK1" s="18" t="s">
        <v>78</v>
      </c>
      <c r="AL1" s="18" t="s">
        <v>80</v>
      </c>
      <c r="AM1" s="18" t="s">
        <v>82</v>
      </c>
      <c r="AN1" s="18" t="s">
        <v>84</v>
      </c>
      <c r="AO1" s="18" t="s">
        <v>86</v>
      </c>
      <c r="AP1" s="19" t="s">
        <v>88</v>
      </c>
      <c r="AQ1" s="19" t="s">
        <v>90</v>
      </c>
      <c r="AR1" s="19" t="s">
        <v>92</v>
      </c>
      <c r="AS1" s="19" t="s">
        <v>94</v>
      </c>
      <c r="AT1" s="19" t="s">
        <v>96</v>
      </c>
      <c r="AU1" s="19" t="s">
        <v>98</v>
      </c>
      <c r="AV1" s="19" t="s">
        <v>100</v>
      </c>
    </row>
    <row r="2" spans="1:48" x14ac:dyDescent="0.2">
      <c r="A2" t="s">
        <v>177</v>
      </c>
      <c r="B2" s="7" t="s">
        <v>176</v>
      </c>
      <c r="C2" s="7">
        <v>0</v>
      </c>
      <c r="D2" s="7">
        <v>4.7300000000000002E-2</v>
      </c>
      <c r="E2" s="7">
        <v>0.20810000000000001</v>
      </c>
      <c r="F2" s="7">
        <v>3.9470000000000001</v>
      </c>
      <c r="G2" s="7">
        <v>0.49199999999999999</v>
      </c>
      <c r="H2" s="7">
        <f t="shared" ref="H2" si="0">F2/G2</f>
        <v>8.0223577235772368</v>
      </c>
      <c r="I2" s="7">
        <f>PI()*(G2/2)^2</f>
        <v>0.19011662102463991</v>
      </c>
      <c r="J2" s="7">
        <v>0</v>
      </c>
      <c r="K2" s="7">
        <f>F2*G2</f>
        <v>1.941924</v>
      </c>
      <c r="L2" s="7">
        <v>1.1000000000000001</v>
      </c>
      <c r="M2" s="7">
        <v>2</v>
      </c>
      <c r="N2" s="7">
        <v>10.7639</v>
      </c>
      <c r="O2" s="7">
        <f>2*N2</f>
        <v>21.527799999999999</v>
      </c>
      <c r="P2" s="7">
        <v>4.76</v>
      </c>
      <c r="Q2" s="7">
        <v>0</v>
      </c>
      <c r="R2" s="7">
        <v>0</v>
      </c>
      <c r="S2" s="7">
        <v>0</v>
      </c>
      <c r="T2" s="7">
        <v>1.4</v>
      </c>
      <c r="U2" s="7">
        <v>6.7270000000000003</v>
      </c>
      <c r="V2" s="7">
        <f>U2*2</f>
        <v>13.454000000000001</v>
      </c>
      <c r="W2" s="7">
        <v>3</v>
      </c>
      <c r="X2" s="7">
        <v>0</v>
      </c>
      <c r="Y2" s="7">
        <v>0</v>
      </c>
      <c r="Z2" s="7">
        <v>1.498</v>
      </c>
      <c r="AA2" s="7">
        <v>1.4</v>
      </c>
      <c r="AB2" s="7">
        <v>0</v>
      </c>
      <c r="AC2" s="7">
        <v>0</v>
      </c>
      <c r="AD2" s="7">
        <v>0</v>
      </c>
      <c r="AE2" s="7">
        <v>0</v>
      </c>
      <c r="AF2" s="7">
        <v>0</v>
      </c>
      <c r="AG2" s="7">
        <v>0</v>
      </c>
      <c r="AH2" s="7">
        <v>0</v>
      </c>
      <c r="AI2" s="7">
        <v>1.4962</v>
      </c>
      <c r="AJ2" s="7">
        <f>2*AI2</f>
        <v>2.9923999999999999</v>
      </c>
      <c r="AK2" s="7">
        <v>1.6</v>
      </c>
      <c r="AL2" s="7">
        <v>0.4</v>
      </c>
      <c r="AM2" s="7">
        <v>0</v>
      </c>
      <c r="AN2" s="7">
        <v>0.37140000000000001</v>
      </c>
      <c r="AO2" s="7">
        <v>1.1000000000000001</v>
      </c>
      <c r="AP2" s="7">
        <v>0</v>
      </c>
      <c r="AQ2" s="7">
        <v>0</v>
      </c>
      <c r="AR2" s="7">
        <v>0</v>
      </c>
      <c r="AS2" s="7">
        <v>0</v>
      </c>
      <c r="AT2" s="7">
        <v>0</v>
      </c>
      <c r="AU2" s="7">
        <v>0</v>
      </c>
      <c r="AV2" s="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B2"/>
  <sheetViews>
    <sheetView zoomScaleNormal="100" workbookViewId="0">
      <selection activeCell="A2" sqref="A2:XFD2"/>
    </sheetView>
  </sheetViews>
  <sheetFormatPr baseColWidth="10" defaultColWidth="8.83203125" defaultRowHeight="15" x14ac:dyDescent="0.2"/>
  <cols>
    <col min="1" max="1" width="12.5" style="20" customWidth="1"/>
    <col min="2" max="2" width="11.83203125" style="20" customWidth="1"/>
    <col min="3" max="42" width="8.83203125" style="20" customWidth="1"/>
    <col min="43" max="43" width="11.83203125" style="20" customWidth="1"/>
    <col min="44" max="44" width="8.83203125" style="20" customWidth="1"/>
    <col min="45" max="45" width="9.83203125" style="20" customWidth="1"/>
    <col min="46" max="46" width="11.83203125" style="20" customWidth="1"/>
    <col min="47" max="47" width="8.83203125" style="20" customWidth="1"/>
    <col min="48" max="49" width="10.33203125" style="20" customWidth="1"/>
    <col min="50" max="50" width="8.83203125" style="20" customWidth="1"/>
    <col min="51" max="51" width="10.33203125" style="20" customWidth="1"/>
    <col min="52" max="52" width="11.83203125" style="20" customWidth="1"/>
    <col min="53" max="53" width="8.83203125" style="20" customWidth="1"/>
    <col min="54" max="16384" width="8.83203125" style="20"/>
  </cols>
  <sheetData>
    <row r="1" spans="1:54" x14ac:dyDescent="0.2">
      <c r="A1" s="21" t="s">
        <v>103</v>
      </c>
      <c r="B1" s="21" t="s">
        <v>105</v>
      </c>
      <c r="C1" s="21" t="s">
        <v>107</v>
      </c>
      <c r="D1" s="21" t="s">
        <v>109</v>
      </c>
      <c r="E1" s="21" t="s">
        <v>178</v>
      </c>
      <c r="F1" s="21" t="s">
        <v>179</v>
      </c>
      <c r="G1" s="21" t="s">
        <v>180</v>
      </c>
      <c r="H1" s="21" t="s">
        <v>181</v>
      </c>
      <c r="I1" s="21" t="s">
        <v>182</v>
      </c>
      <c r="J1" s="21" t="s">
        <v>183</v>
      </c>
      <c r="K1" s="21" t="s">
        <v>184</v>
      </c>
      <c r="L1" s="21" t="s">
        <v>185</v>
      </c>
      <c r="M1" s="21" t="s">
        <v>186</v>
      </c>
      <c r="N1" s="21" t="s">
        <v>187</v>
      </c>
      <c r="O1" s="21" t="s">
        <v>188</v>
      </c>
      <c r="P1" s="21" t="s">
        <v>189</v>
      </c>
      <c r="Q1" s="21" t="s">
        <v>190</v>
      </c>
      <c r="R1" s="21" t="s">
        <v>191</v>
      </c>
      <c r="S1" s="21" t="s">
        <v>192</v>
      </c>
      <c r="T1" s="21" t="s">
        <v>193</v>
      </c>
      <c r="U1" s="21" t="s">
        <v>194</v>
      </c>
      <c r="V1" s="21" t="s">
        <v>195</v>
      </c>
      <c r="W1" s="21" t="s">
        <v>113</v>
      </c>
      <c r="X1" s="21" t="s">
        <v>196</v>
      </c>
      <c r="Y1" s="21" t="s">
        <v>197</v>
      </c>
      <c r="Z1" s="21" t="s">
        <v>198</v>
      </c>
      <c r="AA1" s="21" t="s">
        <v>199</v>
      </c>
      <c r="AB1" s="21" t="s">
        <v>200</v>
      </c>
      <c r="AC1" s="21" t="s">
        <v>201</v>
      </c>
      <c r="AD1" s="21" t="s">
        <v>202</v>
      </c>
      <c r="AE1" s="21" t="s">
        <v>203</v>
      </c>
      <c r="AF1" s="21" t="s">
        <v>204</v>
      </c>
      <c r="AG1" s="21" t="s">
        <v>205</v>
      </c>
      <c r="AH1" s="21" t="s">
        <v>206</v>
      </c>
      <c r="AI1" s="21" t="s">
        <v>207</v>
      </c>
      <c r="AJ1" s="21" t="s">
        <v>208</v>
      </c>
      <c r="AK1" s="21" t="s">
        <v>209</v>
      </c>
      <c r="AL1" s="21" t="s">
        <v>210</v>
      </c>
      <c r="AM1" s="21" t="s">
        <v>211</v>
      </c>
      <c r="AN1" s="21" t="s">
        <v>212</v>
      </c>
      <c r="AO1" s="21" t="s">
        <v>213</v>
      </c>
      <c r="AP1" s="21" t="s">
        <v>117</v>
      </c>
      <c r="AQ1" s="21" t="s">
        <v>119</v>
      </c>
      <c r="AR1" s="21" t="s">
        <v>121</v>
      </c>
      <c r="AS1" s="21" t="s">
        <v>123</v>
      </c>
      <c r="AT1" s="21" t="s">
        <v>125</v>
      </c>
      <c r="AU1" s="21" t="s">
        <v>127</v>
      </c>
      <c r="AV1" s="21" t="s">
        <v>129</v>
      </c>
      <c r="AW1" s="21" t="s">
        <v>131</v>
      </c>
      <c r="AX1" s="21" t="s">
        <v>133</v>
      </c>
      <c r="AY1" s="21" t="s">
        <v>135</v>
      </c>
      <c r="AZ1" s="21" t="s">
        <v>137</v>
      </c>
      <c r="BA1" s="21" t="s">
        <v>139</v>
      </c>
      <c r="BB1" s="21" t="s">
        <v>141</v>
      </c>
    </row>
    <row r="2" spans="1:54" x14ac:dyDescent="0.2">
      <c r="A2" t="s">
        <v>177</v>
      </c>
      <c r="B2" s="20" t="s">
        <v>214</v>
      </c>
      <c r="C2" s="20">
        <v>0.14000000000000001</v>
      </c>
      <c r="D2" s="20">
        <v>0.255</v>
      </c>
      <c r="E2" s="20">
        <v>-0.1431</v>
      </c>
      <c r="F2" s="20">
        <v>-5.0000000000000001E-3</v>
      </c>
      <c r="G2" s="20">
        <v>0.10730000000000001</v>
      </c>
      <c r="H2" s="20">
        <v>0.20549999999999999</v>
      </c>
      <c r="I2" s="20">
        <v>0.29360000000000003</v>
      </c>
      <c r="J2" s="20">
        <v>0.44130000000000003</v>
      </c>
      <c r="K2" s="20">
        <v>0.55389999999999995</v>
      </c>
      <c r="L2" s="20">
        <v>0.6593</v>
      </c>
      <c r="M2" s="20">
        <v>0.76270000000000004</v>
      </c>
      <c r="N2" s="20">
        <v>0.86850000000000005</v>
      </c>
      <c r="O2" s="20">
        <v>0.97030000000000005</v>
      </c>
      <c r="P2" s="20">
        <v>1.0701000000000001</v>
      </c>
      <c r="Q2" s="20">
        <v>1.1707000000000001</v>
      </c>
      <c r="R2" s="20">
        <v>1.2575000000000001</v>
      </c>
      <c r="S2" s="20">
        <v>1.3427</v>
      </c>
      <c r="T2" s="20">
        <v>1.4209000000000001</v>
      </c>
      <c r="U2" s="20">
        <v>1.4866999999999999</v>
      </c>
      <c r="V2" s="20">
        <v>1.5385</v>
      </c>
      <c r="W2" s="20">
        <v>1.5978000000000001</v>
      </c>
      <c r="X2" s="20">
        <v>3.032E-2</v>
      </c>
      <c r="Y2" s="20">
        <v>2.435E-2</v>
      </c>
      <c r="Z2" s="20">
        <v>1.9900000000000001E-2</v>
      </c>
      <c r="AA2" s="20">
        <v>1.8790000000000001E-2</v>
      </c>
      <c r="AB2" s="20">
        <v>1.8429999999999998E-2</v>
      </c>
      <c r="AC2" s="20">
        <v>1.7649999999999999E-2</v>
      </c>
      <c r="AD2" s="20">
        <v>1.7919999999999998E-2</v>
      </c>
      <c r="AE2" s="20">
        <v>1.84E-2</v>
      </c>
      <c r="AF2" s="20">
        <v>1.9290000000000002E-2</v>
      </c>
      <c r="AG2" s="20">
        <v>2.018E-2</v>
      </c>
      <c r="AH2" s="20">
        <v>2.147E-2</v>
      </c>
      <c r="AI2" s="20">
        <v>2.2919999999999999E-2</v>
      </c>
      <c r="AJ2" s="20">
        <v>2.4580000000000001E-2</v>
      </c>
      <c r="AK2" s="20">
        <v>2.6849999999999999E-2</v>
      </c>
      <c r="AL2" s="20">
        <v>2.9309999999999999E-2</v>
      </c>
      <c r="AM2" s="20">
        <v>3.2190000000000003E-2</v>
      </c>
      <c r="AN2" s="20">
        <v>3.567E-2</v>
      </c>
      <c r="AO2" s="20">
        <v>3.9809999999999998E-2</v>
      </c>
      <c r="AP2" s="20">
        <v>1.7520000000000001E-2</v>
      </c>
      <c r="AQ2" s="20" t="s">
        <v>215</v>
      </c>
      <c r="AR2" s="20">
        <v>0.21</v>
      </c>
      <c r="AS2" s="20">
        <v>0.3</v>
      </c>
      <c r="AT2" s="20">
        <v>0</v>
      </c>
      <c r="AU2" s="20">
        <v>0</v>
      </c>
      <c r="AV2" s="20">
        <v>0</v>
      </c>
      <c r="AW2" s="20" t="s">
        <v>216</v>
      </c>
      <c r="AX2" s="20">
        <v>0.1</v>
      </c>
      <c r="AY2" s="20">
        <v>0.3</v>
      </c>
      <c r="AZ2" s="20">
        <v>0</v>
      </c>
      <c r="BA2" s="20">
        <v>0</v>
      </c>
      <c r="BB2" s="20">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8"/>
  <sheetViews>
    <sheetView zoomScaleNormal="100" workbookViewId="0">
      <selection activeCell="K32" sqref="K32"/>
    </sheetView>
  </sheetViews>
  <sheetFormatPr baseColWidth="10" defaultColWidth="8.83203125" defaultRowHeight="15" x14ac:dyDescent="0.2"/>
  <sheetData>
    <row r="1" spans="1:40" x14ac:dyDescent="0.2">
      <c r="A1" s="22" t="s">
        <v>103</v>
      </c>
      <c r="B1" s="22" t="s">
        <v>217</v>
      </c>
      <c r="C1" s="22" t="s">
        <v>218</v>
      </c>
      <c r="D1" s="22" t="s">
        <v>219</v>
      </c>
      <c r="E1" s="22" t="s">
        <v>220</v>
      </c>
      <c r="F1" s="22" t="s">
        <v>221</v>
      </c>
      <c r="G1" s="22" t="s">
        <v>222</v>
      </c>
      <c r="H1" s="22" t="s">
        <v>223</v>
      </c>
      <c r="I1" s="22" t="s">
        <v>224</v>
      </c>
      <c r="J1" s="22" t="s">
        <v>225</v>
      </c>
      <c r="K1" s="22" t="s">
        <v>226</v>
      </c>
      <c r="L1" s="22" t="s">
        <v>227</v>
      </c>
      <c r="M1" s="22" t="s">
        <v>228</v>
      </c>
      <c r="N1" s="22" t="s">
        <v>229</v>
      </c>
      <c r="O1" s="22" t="s">
        <v>230</v>
      </c>
      <c r="P1" s="22" t="s">
        <v>231</v>
      </c>
      <c r="Q1" s="22" t="s">
        <v>232</v>
      </c>
      <c r="R1" s="22" t="s">
        <v>233</v>
      </c>
      <c r="S1" s="22" t="s">
        <v>234</v>
      </c>
      <c r="T1" s="22" t="s">
        <v>235</v>
      </c>
      <c r="U1" s="22" t="s">
        <v>236</v>
      </c>
      <c r="V1" s="22" t="s">
        <v>237</v>
      </c>
      <c r="W1" s="22" t="s">
        <v>238</v>
      </c>
      <c r="X1" s="22" t="s">
        <v>239</v>
      </c>
      <c r="Y1" s="22" t="s">
        <v>240</v>
      </c>
      <c r="Z1" s="22" t="s">
        <v>241</v>
      </c>
      <c r="AA1" s="22" t="s">
        <v>242</v>
      </c>
      <c r="AB1" s="22" t="s">
        <v>243</v>
      </c>
      <c r="AC1" s="22" t="s">
        <v>244</v>
      </c>
      <c r="AD1" s="22" t="s">
        <v>245</v>
      </c>
      <c r="AE1" s="22" t="s">
        <v>246</v>
      </c>
      <c r="AF1" s="22" t="s">
        <v>247</v>
      </c>
      <c r="AG1" s="22" t="s">
        <v>248</v>
      </c>
      <c r="AH1" s="22" t="s">
        <v>249</v>
      </c>
      <c r="AI1" s="22" t="s">
        <v>250</v>
      </c>
      <c r="AJ1" t="s">
        <v>169</v>
      </c>
      <c r="AK1" t="s">
        <v>171</v>
      </c>
      <c r="AL1" t="s">
        <v>172</v>
      </c>
      <c r="AM1" t="s">
        <v>173</v>
      </c>
      <c r="AN1" t="s">
        <v>174</v>
      </c>
    </row>
    <row r="2" spans="1:40" x14ac:dyDescent="0.2">
      <c r="A2" s="22" t="s">
        <v>251</v>
      </c>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c r="AE2" s="22"/>
      <c r="AF2" s="22"/>
      <c r="AG2" s="22"/>
      <c r="AH2" s="22"/>
      <c r="AI2" s="22"/>
    </row>
    <row r="3" spans="1:40" x14ac:dyDescent="0.2">
      <c r="A3" s="22" t="s">
        <v>252</v>
      </c>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row>
    <row r="4" spans="1:40" x14ac:dyDescent="0.2">
      <c r="A4" s="22" t="s">
        <v>253</v>
      </c>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row>
    <row r="5" spans="1:40" x14ac:dyDescent="0.2">
      <c r="A5" s="22" t="s">
        <v>254</v>
      </c>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row>
    <row r="6" spans="1:40" x14ac:dyDescent="0.2">
      <c r="A6" s="22" t="s">
        <v>175</v>
      </c>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row>
    <row r="7" spans="1:40" x14ac:dyDescent="0.2">
      <c r="A7" s="22" t="s">
        <v>255</v>
      </c>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row>
    <row r="8" spans="1:40" x14ac:dyDescent="0.2">
      <c r="A8" s="22" t="s">
        <v>256</v>
      </c>
      <c r="B8" s="22">
        <v>0</v>
      </c>
      <c r="C8" s="22">
        <v>0</v>
      </c>
      <c r="D8" s="22">
        <v>0</v>
      </c>
      <c r="E8" s="22">
        <v>2.0505</v>
      </c>
      <c r="F8" s="22">
        <v>0</v>
      </c>
      <c r="G8" s="22">
        <v>1.2252624700000001</v>
      </c>
      <c r="H8" s="22">
        <v>0</v>
      </c>
      <c r="I8" s="22">
        <v>3.9</v>
      </c>
      <c r="J8" s="22">
        <v>0</v>
      </c>
      <c r="K8" s="22">
        <v>0</v>
      </c>
      <c r="L8" s="22">
        <v>0</v>
      </c>
      <c r="M8" s="22">
        <v>3.9</v>
      </c>
      <c r="N8" s="22">
        <v>0</v>
      </c>
      <c r="O8" s="22">
        <v>0</v>
      </c>
      <c r="P8" s="22">
        <v>8.8000000000000007</v>
      </c>
      <c r="Q8" s="22">
        <v>2.0299999999999998</v>
      </c>
      <c r="R8" s="22">
        <v>0</v>
      </c>
      <c r="S8" s="22">
        <v>0</v>
      </c>
      <c r="T8" s="22">
        <v>0</v>
      </c>
      <c r="U8" s="22">
        <v>0</v>
      </c>
      <c r="V8" s="22">
        <v>1.0252624699999999</v>
      </c>
      <c r="W8" s="22">
        <v>3.73</v>
      </c>
      <c r="X8" s="22">
        <v>0</v>
      </c>
      <c r="Y8" s="22">
        <v>3.73</v>
      </c>
      <c r="Z8" s="22">
        <v>0</v>
      </c>
      <c r="AA8" s="22" t="s">
        <v>249</v>
      </c>
      <c r="AB8" s="22" t="s">
        <v>249</v>
      </c>
      <c r="AC8" s="22" t="s">
        <v>249</v>
      </c>
      <c r="AD8" s="22" t="s">
        <v>249</v>
      </c>
      <c r="AE8" s="22" t="s">
        <v>249</v>
      </c>
      <c r="AF8" s="22" t="s">
        <v>249</v>
      </c>
      <c r="AG8" s="22">
        <v>1.4999999999999999E-2</v>
      </c>
      <c r="AH8" s="22">
        <v>37.5</v>
      </c>
      <c r="AI8" s="22"/>
      <c r="AJ8" t="s">
        <v>257</v>
      </c>
      <c r="AK8" t="s">
        <v>257</v>
      </c>
      <c r="AL8" t="s">
        <v>257</v>
      </c>
      <c r="AM8" t="s">
        <v>257</v>
      </c>
      <c r="AN8" t="s">
        <v>257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3"/>
  <sheetViews>
    <sheetView zoomScale="164" zoomScaleNormal="100" workbookViewId="0">
      <selection activeCell="A2" sqref="A2:XFD2"/>
    </sheetView>
  </sheetViews>
  <sheetFormatPr baseColWidth="10" defaultColWidth="8.83203125" defaultRowHeight="15" x14ac:dyDescent="0.2"/>
  <cols>
    <col min="1" max="1" width="10.83203125" customWidth="1"/>
    <col min="2" max="2" width="21.5" customWidth="1"/>
    <col min="4" max="4" width="10" customWidth="1"/>
    <col min="5" max="5" width="11.5" customWidth="1"/>
    <col min="7" max="7" width="11.5" customWidth="1"/>
    <col min="8" max="8" width="10.83203125" customWidth="1"/>
    <col min="9" max="9" width="10" customWidth="1"/>
    <col min="14" max="14" width="12.1640625" customWidth="1"/>
    <col min="15" max="15" width="12.5" customWidth="1"/>
    <col min="16" max="16" width="14.33203125" customWidth="1"/>
    <col min="17" max="17" width="12.6640625" customWidth="1"/>
  </cols>
  <sheetData>
    <row r="1" spans="1:18" x14ac:dyDescent="0.2">
      <c r="A1" s="23" t="s">
        <v>103</v>
      </c>
      <c r="B1" s="23" t="s">
        <v>144</v>
      </c>
      <c r="C1" s="23" t="s">
        <v>146</v>
      </c>
      <c r="D1" s="24" t="s">
        <v>148</v>
      </c>
      <c r="E1" s="24" t="s">
        <v>151</v>
      </c>
      <c r="F1" s="24" t="s">
        <v>154</v>
      </c>
      <c r="G1" s="24" t="s">
        <v>156</v>
      </c>
      <c r="H1" s="24" t="s">
        <v>158</v>
      </c>
      <c r="I1" s="25" t="s">
        <v>160</v>
      </c>
      <c r="J1" s="25" t="s">
        <v>163</v>
      </c>
      <c r="K1" s="25" t="s">
        <v>166</v>
      </c>
      <c r="L1" s="25" t="s">
        <v>258</v>
      </c>
      <c r="M1" s="26" t="s">
        <v>259</v>
      </c>
      <c r="N1" s="26" t="s">
        <v>260</v>
      </c>
      <c r="O1" s="26" t="s">
        <v>261</v>
      </c>
      <c r="P1" s="26" t="s">
        <v>262</v>
      </c>
      <c r="Q1" s="26" t="s">
        <v>263</v>
      </c>
      <c r="R1" s="26" t="s">
        <v>264</v>
      </c>
    </row>
    <row r="2" spans="1:18" x14ac:dyDescent="0.2">
      <c r="A2" t="s">
        <v>177</v>
      </c>
      <c r="B2" t="s">
        <v>265</v>
      </c>
      <c r="C2">
        <v>2</v>
      </c>
      <c r="D2">
        <v>0</v>
      </c>
      <c r="E2">
        <v>0</v>
      </c>
      <c r="F2">
        <v>0</v>
      </c>
      <c r="G2">
        <v>0</v>
      </c>
      <c r="H2">
        <v>0</v>
      </c>
      <c r="I2">
        <v>2.8576999999999999</v>
      </c>
      <c r="J2">
        <v>0.39</v>
      </c>
      <c r="K2">
        <v>0.7</v>
      </c>
      <c r="L2">
        <v>0.75</v>
      </c>
      <c r="M2">
        <v>300</v>
      </c>
      <c r="N2">
        <v>0.9</v>
      </c>
      <c r="O2">
        <v>0.9</v>
      </c>
      <c r="P2">
        <v>0.9</v>
      </c>
      <c r="Q2">
        <f>M2*N2*O2*P2</f>
        <v>218.70000000000002</v>
      </c>
      <c r="R2">
        <v>0.8</v>
      </c>
    </row>
    <row r="3" spans="1:18" x14ac:dyDescent="0.2">
      <c r="I3" t="s">
        <v>266</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9"/>
  <sheetViews>
    <sheetView zoomScale="169" zoomScaleNormal="100" workbookViewId="0">
      <selection activeCell="A14" sqref="A14"/>
    </sheetView>
  </sheetViews>
  <sheetFormatPr baseColWidth="10" defaultColWidth="8.83203125" defaultRowHeight="15" x14ac:dyDescent="0.2"/>
  <cols>
    <col min="1" max="1" width="19.33203125" customWidth="1"/>
    <col min="2" max="2" width="26.1640625" customWidth="1"/>
    <col min="3" max="3" width="18.1640625" customWidth="1"/>
  </cols>
  <sheetData>
    <row r="1" spans="1:2" x14ac:dyDescent="0.2">
      <c r="A1" t="s">
        <v>144</v>
      </c>
      <c r="B1" t="s">
        <v>7</v>
      </c>
    </row>
    <row r="2" spans="1:2" x14ac:dyDescent="0.2">
      <c r="A2" t="s">
        <v>267</v>
      </c>
      <c r="B2" t="s">
        <v>268</v>
      </c>
    </row>
    <row r="3" spans="1:2" x14ac:dyDescent="0.2">
      <c r="A3" t="s">
        <v>265</v>
      </c>
      <c r="B3" t="s">
        <v>269</v>
      </c>
    </row>
    <row r="4" spans="1:2" x14ac:dyDescent="0.2">
      <c r="A4" t="s">
        <v>270</v>
      </c>
      <c r="B4" t="s">
        <v>271</v>
      </c>
    </row>
    <row r="5" spans="1:2" x14ac:dyDescent="0.2">
      <c r="A5" t="s">
        <v>272</v>
      </c>
      <c r="B5" t="s">
        <v>273</v>
      </c>
    </row>
    <row r="6" spans="1:2" x14ac:dyDescent="0.2">
      <c r="A6" t="s">
        <v>274</v>
      </c>
      <c r="B6" t="s">
        <v>275</v>
      </c>
    </row>
    <row r="7" spans="1:2" x14ac:dyDescent="0.2">
      <c r="A7" t="s">
        <v>276</v>
      </c>
      <c r="B7" t="s">
        <v>277</v>
      </c>
    </row>
    <row r="8" spans="1:2" x14ac:dyDescent="0.2">
      <c r="B8" s="27" t="s">
        <v>278</v>
      </c>
    </row>
    <row r="9" spans="1:2" x14ac:dyDescent="0.2">
      <c r="B9" t="s">
        <v>279</v>
      </c>
    </row>
    <row r="10" spans="1:2" x14ac:dyDescent="0.2">
      <c r="B10" s="27" t="s">
        <v>280</v>
      </c>
    </row>
    <row r="11" spans="1:2" x14ac:dyDescent="0.2">
      <c r="B11" t="s">
        <v>281</v>
      </c>
    </row>
    <row r="12" spans="1:2" x14ac:dyDescent="0.2">
      <c r="B12" s="27" t="s">
        <v>176</v>
      </c>
    </row>
    <row r="13" spans="1:2" x14ac:dyDescent="0.2">
      <c r="B13" t="s">
        <v>282</v>
      </c>
    </row>
    <row r="14" spans="1:2" x14ac:dyDescent="0.2">
      <c r="B14" t="s">
        <v>283</v>
      </c>
    </row>
    <row r="15" spans="1:2" x14ac:dyDescent="0.2">
      <c r="B15" t="s">
        <v>284</v>
      </c>
    </row>
    <row r="16" spans="1:2" x14ac:dyDescent="0.2">
      <c r="B16" t="s">
        <v>285</v>
      </c>
    </row>
    <row r="17" spans="2:2" x14ac:dyDescent="0.2">
      <c r="B17" t="s">
        <v>286</v>
      </c>
    </row>
    <row r="18" spans="2:2" x14ac:dyDescent="0.2">
      <c r="B18" t="s">
        <v>287</v>
      </c>
    </row>
    <row r="19" spans="2:2" x14ac:dyDescent="0.2">
      <c r="B19" t="s">
        <v>288</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Normal="100"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Variable Reference</vt:lpstr>
      <vt:lpstr>Main_Input</vt:lpstr>
      <vt:lpstr>Airfoil_Data</vt:lpstr>
      <vt:lpstr>Component_Data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2023-12-05T19:03:00Z</dcterms:created>
  <dcterms:modified xsi:type="dcterms:W3CDTF">2026-09-16T17:41:42Z</dcterms:modified>
</cp:coreProperties>
</file>