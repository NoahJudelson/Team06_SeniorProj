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7"/>
  <workbookPr filterPrivacy="1" defaultThemeVersion="166925"/>
  <xr:revisionPtr revIDLastSave="0" documentId="13_ncr:1_{5BD7CD2D-2618-4D4D-B909-5F482E1F83BD}" xr6:coauthVersionLast="47" xr6:coauthVersionMax="47" xr10:uidLastSave="{00000000-0000-0000-0000-000000000000}"/>
  <bookViews>
    <workbookView xWindow="0" yWindow="500" windowWidth="28800" windowHeight="16220" activeTab="2" xr2:uid="{00000000-000D-0000-FFFF-FFFF00000000}"/>
  </bookViews>
  <sheets>
    <sheet name="Variable Reference" sheetId="15" r:id="rId1"/>
    <sheet name="Main_Input" sheetId="4" r:id="rId2"/>
    <sheet name="Airfoil_Data" sheetId="5" r:id="rId3"/>
    <sheet name="Component_Data" sheetId="16" r:id="rId4"/>
    <sheet name="Propulsion" sheetId="13" r:id="rId5"/>
    <sheet name="Lists" sheetId="14" r:id="rId6"/>
    <sheet name="Geometry Reference" sheetId="2"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 i="4" l="1"/>
  <c r="N2" i="4"/>
  <c r="V2" i="4" l="1"/>
  <c r="K2" i="4"/>
  <c r="Q2" i="13"/>
  <c r="AJ2" i="4"/>
  <c r="O2" i="4"/>
  <c r="I2" i="4"/>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 authorId="0" shapeId="0" xr:uid="{00000000-0006-0000-0400-000001000000}">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00000000-0006-0000-0400-000002000000}">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00000000-0006-0000-0400-000003000000}">
      <text>
        <r>
          <rPr>
            <b/>
            <sz val="9"/>
            <color indexed="81"/>
            <rFont val="Tahoma"/>
            <family val="2"/>
          </rPr>
          <t>John Mah:</t>
        </r>
        <r>
          <rPr>
            <sz val="9"/>
            <color indexed="81"/>
            <rFont val="Tahoma"/>
            <family val="2"/>
          </rPr>
          <t xml:space="preserve">
Units:  lbf
Only input values if jet engine, otherwise input "0"</t>
        </r>
      </text>
    </comment>
    <comment ref="G1" authorId="0" shapeId="0" xr:uid="{00000000-0006-0000-0400-000004000000}">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00000000-0006-0000-0400-00000500000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00000000-0006-0000-0400-000006000000}">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00000000-0006-0000-0400-000007000000}">
      <text>
        <r>
          <rPr>
            <b/>
            <sz val="9"/>
            <color rgb="FF000000"/>
            <rFont val="Tahoma"/>
            <family val="2"/>
          </rPr>
          <t>John Mah:</t>
        </r>
        <r>
          <rPr>
            <sz val="9"/>
            <color rgb="FF000000"/>
            <rFont val="Tahoma"/>
            <family val="2"/>
          </rPr>
          <t xml:space="preserve">
</t>
        </r>
        <r>
          <rPr>
            <sz val="9"/>
            <color rgb="FF000000"/>
            <rFont val="Tahoma"/>
            <family val="2"/>
          </rPr>
          <t xml:space="preserve">Units of lb/hr/hp
</t>
        </r>
        <r>
          <rPr>
            <sz val="9"/>
            <color rgb="FF000000"/>
            <rFont val="Tahoma"/>
            <family val="2"/>
          </rPr>
          <t xml:space="preserve">
</t>
        </r>
      </text>
    </comment>
    <comment ref="K1" authorId="0" shapeId="0" xr:uid="{00000000-0006-0000-0400-000008000000}">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sharedStrings.xml><?xml version="1.0" encoding="utf-8"?>
<sst xmlns="http://schemas.openxmlformats.org/spreadsheetml/2006/main" count="537" uniqueCount="274">
  <si>
    <t>Worksheet</t>
  </si>
  <si>
    <t>Variable Name</t>
  </si>
  <si>
    <t>Units</t>
  </si>
  <si>
    <t>Description</t>
  </si>
  <si>
    <t>Main_Input</t>
  </si>
  <si>
    <t>N/A</t>
  </si>
  <si>
    <t>User defined configuration number label.  Used to differentiate different designs or trade study variations in designs.</t>
  </si>
  <si>
    <t>ACType</t>
  </si>
  <si>
    <t>Aircraft Type. Used for calculating empty weight fraction based on models from Raymer Table 6.1 &amp; 6.2.</t>
  </si>
  <si>
    <t>altitude_o</t>
  </si>
  <si>
    <t>ft</t>
  </si>
  <si>
    <t>Design altitude.  Utilized to find standard atmosphere properties in model via the atmos function.  Value is typically left at sea level for conceptual design, but can be selected to represent the most prevalent or important mission altitude expected.</t>
  </si>
  <si>
    <t>M_o</t>
  </si>
  <si>
    <t>Estimate of designed Mach. Used to calculate Reynolds number for model analysis of skin friction drag.  Value should be selected to represent the most prevalent or important mission mach expected.</t>
  </si>
  <si>
    <t>M_max</t>
  </si>
  <si>
    <t>Max mach for design.</t>
  </si>
  <si>
    <t>Length_f</t>
  </si>
  <si>
    <t>Length of fuselage.</t>
  </si>
  <si>
    <t>Dia_f</t>
  </si>
  <si>
    <t>Maxium diameter of fuselage.</t>
  </si>
  <si>
    <t>Fine_f</t>
  </si>
  <si>
    <t>Fuselage fineness ratio.  Determined by dividing fuselage length by fuselage diameter.</t>
  </si>
  <si>
    <t>Amax_f</t>
  </si>
  <si>
    <t>ft^2</t>
  </si>
  <si>
    <t>Maximum fuselage cross-section area.</t>
  </si>
  <si>
    <t>Abase_f</t>
  </si>
  <si>
    <t>Fuselage base drag cross section area.  Determined by finding the cross section in the aft portion of the fuselage where the departure angle of the fuselage contour is &gt; 20 deg.  If this never occurs, then this value is zero.</t>
  </si>
  <si>
    <t>Swet_f</t>
  </si>
  <si>
    <t>Wetted area of fuselage equal to the total exposed surface area of the fuselage.</t>
  </si>
  <si>
    <t>Q_f</t>
  </si>
  <si>
    <t>Fuselage interference factor.  Default value is 1.0. for basic streamlined tube fuselage.  Can be &gt; 1.0 if significant fuselage protrusions exist.</t>
  </si>
  <si>
    <t>EWD</t>
  </si>
  <si>
    <t>Emperical Wave Drag Factor.  Example valuse:  1 = Ideal Sears-Haack Body, Typcial range for supersonic aircraft is 1.8 - 2.2 for clean, smoothly blended contoured design, 2.5 - 3 = Bumpy volume distribution.  An F-15 has an EWD around 2.9.</t>
  </si>
  <si>
    <t>Sref_w</t>
  </si>
  <si>
    <t>Wing planform area.  Projected 2-D area of the entire wing to include portions "hidden" within fuselage.  This area is used as the nondimensionalization scaling reference for all aerodynamic coefficients.</t>
  </si>
  <si>
    <t>Swet_w</t>
  </si>
  <si>
    <t xml:space="preserve">Wetted area of wing.  Accounts for all exposed (i.e. air touches it) surfaces of the wing (top and bottom surface must be accounted for). </t>
  </si>
  <si>
    <t>AR_w</t>
  </si>
  <si>
    <t>Aspect ratio of the wing.  See Wing Geometry reference sheet for equation.</t>
  </si>
  <si>
    <t>Taper_w</t>
  </si>
  <si>
    <t>Taper ratio of the wing (ratio of root chord to tip chord length). See Wing Geometry reference sheet for equation.</t>
  </si>
  <si>
    <t>Sweep_w</t>
  </si>
  <si>
    <t>deg</t>
  </si>
  <si>
    <t>Leading edge sweep of the main wing.</t>
  </si>
  <si>
    <t>QuarterSweep_w</t>
  </si>
  <si>
    <t>Sweep angle of the line connecting the quarter chord of the main wing from root to tip.</t>
  </si>
  <si>
    <t>Q_w</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</si>
  <si>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</si>
  <si>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Sref-h1</t>
  </si>
  <si>
    <t xml:space="preserve">Horizontal stabilizer #1 planform area.  Projected 2-D area of the entire horizontal tail to include portions "hidden" within fuselage. </t>
  </si>
  <si>
    <t>Swet_h1</t>
  </si>
  <si>
    <t xml:space="preserve">Wetted area of horizontal stabilizer #1.  Accounts for all exposed (i.e. air touches it) surfaces (top and bottom surface must be accounted for). </t>
  </si>
  <si>
    <t>AR_h1</t>
  </si>
  <si>
    <t>Aspect ratio of horizontal stabilizer #1. See Wing Geometry reference sheet for equation.</t>
  </si>
  <si>
    <t>Taper_h1</t>
  </si>
  <si>
    <t>Taper ratio of the horizontal stabilizer #1 (ratio of root chord to tip chord length). See Wing Geometry reference sheet for equation.</t>
  </si>
  <si>
    <t>Sweep_h1</t>
  </si>
  <si>
    <t>Leading edge sweep of the horizontal stabilizer #1.</t>
  </si>
  <si>
    <t>MAC_h1</t>
  </si>
  <si>
    <t>Estimate of the mean aerodynamic chord of the horizontal stabilizer #1.  Can roughly estimate by taking the average of the root chord and tip chord of the horizontal stabilizer.  Utilized to determine Reynolds number effects for horizontal tail.</t>
  </si>
  <si>
    <t>Q_h1</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</si>
  <si>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</si>
  <si>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Sref-h2</t>
  </si>
  <si>
    <t>Swet_h2</t>
  </si>
  <si>
    <t>AR_h2</t>
  </si>
  <si>
    <t>Aspect ratio of horizontal stabilizer #2. See Wing Geometry reference sheet for equation.</t>
  </si>
  <si>
    <t>Taper_h2</t>
  </si>
  <si>
    <t>Taper ratio of the horizontal stabilizer #2 (ratio of root chord to tip chord length). See Wing Geometry reference sheet for equation.</t>
  </si>
  <si>
    <t>Sweep_h2</t>
  </si>
  <si>
    <t>Leading edge sweep of the horizontal stabilizer #2.</t>
  </si>
  <si>
    <t>MAC_h2</t>
  </si>
  <si>
    <t>Estimate of the mean aerodynamic chord of the horizontal stabilizer #2.  Can roughly estimate by taking the average of the root chord and tip chord of the horizontal stabilizer.  Utilized to determine Reynolds number effects for horizontal tail.</t>
  </si>
  <si>
    <t>Q_h2</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</si>
  <si>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</si>
  <si>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Sref-v1</t>
  </si>
  <si>
    <t xml:space="preserve">Vertical stabilizer #1 planform area.  Projected 2-D area of the entire vertical tail to include portions "hidden" within fuselage. </t>
  </si>
  <si>
    <t>Swet_v1</t>
  </si>
  <si>
    <t xml:space="preserve">Wetted area of vertical stabilizer #1.  Accounts for all exposed (i.e. air touches it) surfaces (top and bottom surface must be accounted for). </t>
  </si>
  <si>
    <t>AR_v1</t>
  </si>
  <si>
    <t>Aspect ratio of vertical stabilizer #1. See Wing Geometry reference sheet for equation.</t>
  </si>
  <si>
    <t>Taper_v1</t>
  </si>
  <si>
    <t>Taper ratio of the vertical stabilizer #1 (ratio of root chord to tip chord length). See Wing Geometry reference sheet for equation.</t>
  </si>
  <si>
    <t>Sweep_v1</t>
  </si>
  <si>
    <t>Leading edge sweep of the vertical stabilizer #1.</t>
  </si>
  <si>
    <t>MAC_v1</t>
  </si>
  <si>
    <t>Estimate of the mean aerodynamic chord of the vertical stabilizer #1.  Can roughly estimate by taking the average of the root chord and tip chord of the vertical stabilizer.  Utilized to determine Reynolds number effects for vertical tail.</t>
  </si>
  <si>
    <t>Q_v1</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</si>
  <si>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</si>
  <si>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Sref-v2</t>
  </si>
  <si>
    <t xml:space="preserve">Vertical stabilizer #2 planform area.  Projected 2-D area of the entire vertical tail to include portions "hidden" within fuselage. </t>
  </si>
  <si>
    <t>Swet_v2</t>
  </si>
  <si>
    <t xml:space="preserve">Wetted area of vertical stabilizer #2.  Accounts for all exposed (i.e. air touches it) surfaces (top and bottom surface must be accounted for). </t>
  </si>
  <si>
    <t>AR_v2</t>
  </si>
  <si>
    <t>Aspect ratio of vertical stabilizer #2. See Wing Geometry reference sheet for equation.</t>
  </si>
  <si>
    <t>Taper_v2</t>
  </si>
  <si>
    <t>Taper ratio of the vertical stabilizer #2 (ratio of root chord to tip chord length). See Wing Geometry reference sheet for equation.</t>
  </si>
  <si>
    <t>Sweep_v2</t>
  </si>
  <si>
    <t>Leading edge sweep of the vertical stabilizer #2.</t>
  </si>
  <si>
    <t>MAC_v2</t>
  </si>
  <si>
    <t>Estimate of the mean aerodynamic chord of the vertical stabilizer #2.  Can roughly estimate by taking the average of the root chord and tip chord of the vertical stabilizer.  Utilized to determine Reynolds number effects for vertical tail.</t>
  </si>
  <si>
    <t>Q_v2</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</si>
  <si>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</si>
  <si>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Airfoil_Data</t>
  </si>
  <si>
    <t>Config</t>
  </si>
  <si>
    <t>User defined configuration number label.  Must align with configuration name / row on Main_Input.</t>
  </si>
  <si>
    <t>Airfoil_w</t>
  </si>
  <si>
    <t>Main wing airfoil name.</t>
  </si>
  <si>
    <t>Thick_w</t>
  </si>
  <si>
    <t>Main wing airfoil thickness to chord ratio.</t>
  </si>
  <si>
    <t>X_thick_w</t>
  </si>
  <si>
    <t>Main wing airfoil location of max thickness in percent chord.</t>
  </si>
  <si>
    <t>Cl_XXX</t>
  </si>
  <si>
    <t>2D airfoil coefficient of lift data from -5 deg AoA to 15 deg AoA (as denoted by value XXX after the Cl_)</t>
  </si>
  <si>
    <t>Cl_max</t>
  </si>
  <si>
    <t>2D airfoil maximum coefficient of lift</t>
  </si>
  <si>
    <t>Cd_XXX</t>
  </si>
  <si>
    <t>2D airfoil coefficient of drag data from -5 deg AoA to 15 deg AoA (as denoted by value XXX after the Cd_)</t>
  </si>
  <si>
    <t>Cd_min</t>
  </si>
  <si>
    <t>Minimum value of airfoil coefficient of drag data.</t>
  </si>
  <si>
    <t>Airfoil_h1</t>
  </si>
  <si>
    <t>Horizontal stabilizer #1 airfoil name.</t>
  </si>
  <si>
    <t>Thick_h1</t>
  </si>
  <si>
    <t>Horizontal stabilizer #1 airfoil thickness to chord ratio.</t>
  </si>
  <si>
    <t>X_thick_h1</t>
  </si>
  <si>
    <t>Horizontal stabilizer #1 airfoil location of max thickness in percent chord.</t>
  </si>
  <si>
    <t>Airfoil_h2</t>
  </si>
  <si>
    <t>Horizontal stabilizer #2 airfoil name.</t>
  </si>
  <si>
    <t>Thick_h2</t>
  </si>
  <si>
    <t>Horizontal stabilizer #2 airfoil thickness to chord ratio.</t>
  </si>
  <si>
    <t>X_thick_h2</t>
  </si>
  <si>
    <t>Horizontal stabilizer #2 airfoil location of max thickness in percent chord.</t>
  </si>
  <si>
    <t>Airfoil_v1</t>
  </si>
  <si>
    <t>Vertical stabilizer #1 airfoil name.</t>
  </si>
  <si>
    <t>Thick_v1</t>
  </si>
  <si>
    <t>Vertical stabilizer #1 airfoil thickness to chord ratio.</t>
  </si>
  <si>
    <t>X_thick_v1</t>
  </si>
  <si>
    <t>Vertical stabilizer #1 airfoil location of max thickness in percent chord.</t>
  </si>
  <si>
    <t>Airfoil_v2</t>
  </si>
  <si>
    <t>Vertical stabilizer #2 airfoil name.</t>
  </si>
  <si>
    <t>Thick_v2</t>
  </si>
  <si>
    <t>Vertical stabilizer #2 airfoil thickness to chord ratio.</t>
  </si>
  <si>
    <t>X_thick_v2</t>
  </si>
  <si>
    <t>Vertical stabilizer #2 airfoil location of max thickness in percent chord.</t>
  </si>
  <si>
    <t>Propulsion</t>
  </si>
  <si>
    <t>PropType</t>
  </si>
  <si>
    <t>Type of propulsion utilized.  Pull down menu w/ limited options:  PROP_Fuel, PROP_Electric, JET_HBP_Turbofan,JET_LBP_Turbofan</t>
  </si>
  <si>
    <t>Number</t>
  </si>
  <si>
    <t>Number of engines / propulsion systems on aircraft.</t>
  </si>
  <si>
    <t>TA_mil_sl</t>
  </si>
  <si>
    <t>lb</t>
  </si>
  <si>
    <t>Static sea level uninstalled thrust without afterburner for a jet engine.  If using a prop driven aircraft, set to zero.</t>
  </si>
  <si>
    <t>TSFC_mil_sl</t>
  </si>
  <si>
    <t>(lb/hr/lb)</t>
  </si>
  <si>
    <t>Thrust specific fuel consupmtion without afterburner for a jet engine. If using a prop driven aircraft, set to zero.</t>
  </si>
  <si>
    <t>TA_AB_sl</t>
  </si>
  <si>
    <t>Static sea level uninstalled thrust with afterburner for a jet engine.  If using a prop driven aircraft or jet engine without afterburner, set to zero.</t>
  </si>
  <si>
    <t>TSFC_AB_sl</t>
  </si>
  <si>
    <t>Thrust specific fuel consupmtion with afterburner for a jet engine. If using a prop driven aircraft or a jet engine without afterburner, set to zero.</t>
  </si>
  <si>
    <t>Install_loss</t>
  </si>
  <si>
    <t>Installation losses for a jet engine.  Typically 20% = 0.2.</t>
  </si>
  <si>
    <t>PA_shp_sl</t>
  </si>
  <si>
    <t>hp</t>
  </si>
  <si>
    <t>Shaft or brake horsepower of engine driving a prop at sea level.  If using a jet engine, set to zero.</t>
  </si>
  <si>
    <t>SFC_sl</t>
  </si>
  <si>
    <t>(lb/hr/hp)</t>
  </si>
  <si>
    <t>Specific Fuel Consumption for prop engine.  If using a jet engine, set to zero.</t>
  </si>
  <si>
    <t>Prop_eff</t>
  </si>
  <si>
    <t>Propellor efficiency.</t>
  </si>
  <si>
    <t>Component_Data</t>
  </si>
  <si>
    <t>SkinThick_w</t>
  </si>
  <si>
    <t>Hollow skin wall thickness. Blank uses Thick_f from the same component row. Weight = density * wetted area * wall thickness * 1.05; internal structure is not included.</t>
  </si>
  <si>
    <t>SkinThick_h1</t>
  </si>
  <si>
    <t>SkinThick_h2</t>
  </si>
  <si>
    <t>SkinThick_v1</t>
  </si>
  <si>
    <t>SkinThick_v2</t>
  </si>
  <si>
    <t>Homebuilt_Composite_Prop</t>
  </si>
  <si>
    <t>JB_{V1}</t>
  </si>
  <si>
    <t>Cl_neg5</t>
  </si>
  <si>
    <t>Cl_neg4</t>
  </si>
  <si>
    <t>Cl_neg3</t>
  </si>
  <si>
    <t>Cl_neg2</t>
  </si>
  <si>
    <t>Cl_neg1</t>
  </si>
  <si>
    <t>Cl_0</t>
  </si>
  <si>
    <t>Cl_1</t>
  </si>
  <si>
    <t>Cl_2</t>
  </si>
  <si>
    <t>Cl_3</t>
  </si>
  <si>
    <t>Cl_4</t>
  </si>
  <si>
    <t>Cl_5</t>
  </si>
  <si>
    <t>Cl_6</t>
  </si>
  <si>
    <t>Cl_7</t>
  </si>
  <si>
    <t>Cl_8</t>
  </si>
  <si>
    <t>Cl_9</t>
  </si>
  <si>
    <t>Cl_10</t>
  </si>
  <si>
    <t>Cl_11</t>
  </si>
  <si>
    <t>Cl_12</t>
  </si>
  <si>
    <t>Cd_neg5</t>
  </si>
  <si>
    <t>Cd_neg4</t>
  </si>
  <si>
    <t>Cd_neg3</t>
  </si>
  <si>
    <t>Cd_neg2</t>
  </si>
  <si>
    <t>Cd_neg1</t>
  </si>
  <si>
    <t>Cd_0</t>
  </si>
  <si>
    <t>Cd_1</t>
  </si>
  <si>
    <t>Cd_2</t>
  </si>
  <si>
    <t>Cd_3</t>
  </si>
  <si>
    <t>Cd_4</t>
  </si>
  <si>
    <t>Cd_5</t>
  </si>
  <si>
    <t>Cd_6</t>
  </si>
  <si>
    <t>Cd_7</t>
  </si>
  <si>
    <t>Cd_8</t>
  </si>
  <si>
    <t>Cd_9</t>
  </si>
  <si>
    <t>Cd_10</t>
  </si>
  <si>
    <t>Cd_11</t>
  </si>
  <si>
    <t>Cd_12</t>
  </si>
  <si>
    <t>SD7062</t>
  </si>
  <si>
    <t>NACA0021</t>
  </si>
  <si>
    <t>NACA 0010</t>
  </si>
  <si>
    <t>W_nose</t>
  </si>
  <si>
    <t>W_fuse</t>
  </si>
  <si>
    <t>W_wing</t>
  </si>
  <si>
    <t>W_h1</t>
  </si>
  <si>
    <t>W_h2</t>
  </si>
  <si>
    <t>W_v1</t>
  </si>
  <si>
    <t>W_v2</t>
  </si>
  <si>
    <t>W_pay</t>
  </si>
  <si>
    <t>W_ballast</t>
  </si>
  <si>
    <t>W_systems</t>
  </si>
  <si>
    <t>Fuse_Mat</t>
  </si>
  <si>
    <t>Wing_Mat</t>
  </si>
  <si>
    <t>h1_Mat</t>
  </si>
  <si>
    <t>h2_Mat</t>
  </si>
  <si>
    <t>v1_Mat</t>
  </si>
  <si>
    <t>v2_Mat</t>
  </si>
  <si>
    <t>Thick_f</t>
  </si>
  <si>
    <t>rho_LWPLA</t>
  </si>
  <si>
    <t>Prop_Dia</t>
  </si>
  <si>
    <t>Esb_ideal</t>
  </si>
  <si>
    <t>install_loss</t>
  </si>
  <si>
    <t>capacity_loss</t>
  </si>
  <si>
    <t>lifetime_loss</t>
  </si>
  <si>
    <t>Esb_Real</t>
  </si>
  <si>
    <t>eta_b2s</t>
  </si>
  <si>
    <t>PROP_Electric</t>
  </si>
  <si>
    <t>PROP_Fuel</t>
  </si>
  <si>
    <t>Jet_Fighter</t>
  </si>
  <si>
    <t>Jet_Trainer</t>
  </si>
  <si>
    <t>JET_HBP_Turbofan</t>
  </si>
  <si>
    <t>Jet_Transport</t>
  </si>
  <si>
    <t>JET_LBP_Turbofan</t>
  </si>
  <si>
    <t>Military_Cargo/Bomber</t>
  </si>
  <si>
    <t>PROP_Turboprop</t>
  </si>
  <si>
    <t>Business_Jet</t>
  </si>
  <si>
    <t>PROP_Turbocharged</t>
  </si>
  <si>
    <t>UAV_Jet</t>
  </si>
  <si>
    <t>GA_Metal_Single</t>
  </si>
  <si>
    <t>GA_Metal_Twin</t>
  </si>
  <si>
    <t>GA_Composite</t>
  </si>
  <si>
    <t>Homebuilt_Metal/wood_Prop</t>
  </si>
  <si>
    <t>Turboprop_Transport</t>
  </si>
  <si>
    <t>Sailplane_Unpowered</t>
  </si>
  <si>
    <t>Sailplane_Powered</t>
  </si>
  <si>
    <t>Ag_Aircraft_Prop</t>
  </si>
  <si>
    <t>Aerobatic_Prop</t>
  </si>
  <si>
    <t>Flying_Boat_Prop</t>
  </si>
  <si>
    <t>UAV_Prop</t>
  </si>
  <si>
    <t>Bulkhead_Mat</t>
  </si>
  <si>
    <t>W_wing_spar</t>
  </si>
  <si>
    <t>W_bulkhead</t>
  </si>
  <si>
    <t>rho_LW_balsa</t>
  </si>
  <si>
    <t>N_bulkhead</t>
  </si>
  <si>
    <t>Width_bulkhead</t>
  </si>
  <si>
    <t>Height_bulkhead</t>
  </si>
  <si>
    <t>Depth_bulkhead</t>
  </si>
  <si>
    <t>0.01312 ft</t>
  </si>
  <si>
    <t>N_wing_spar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</si>
</sst>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000000"/>
      <name val="Calibri"/>
      <family val="2"/>
      <scheme val="minor"/>
    </font>
    <font>
      <b/>
      <sz val="9"/>
      <color rgb="FF000000"/>
      <name val="Tahoma"/>
      <family val="2"/>
    </font>
    <font>
      <sz val="9"/>
      <color rgb="FF000000"/>
      <name val="Tahoma"/>
      <family val="2"/>
    </font>
    <font>
      <b/>
      <sz val="9"/>
      <color indexed="81"/>
      <name val="Tahoma"/>
      <family val="2"/>
    </font>
    <font>
      <sz val="9"/>
      <color indexed="81"/>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8"/>
        <bgColor indexed="64"/>
      </patternFill>
    </fill>
    <fill>
      <patternFill patternType="solid">
        <fgColor theme="7"/>
        <bgColor indexed="64"/>
      </patternFill>
    </fill>
    <fill>
      <patternFill patternType="solid">
        <fgColor rgb="FF92D05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0" fillId="0" borderId="0" xfId="0" applyAlignment="1">
      <alignment horizontal="center"/>
    </xf>
    <xf numFmtId="0" fontId="0" fillId="0" borderId="0" xfId="0" applyAlignment="1">
      <alignment wrapText="1"/>
    </xf>
    <xf numFmtId="0" fontId="1" fillId="2" borderId="1" xfId="0" applyFont="1" applyFill="1" applyBorder="1"/>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3" borderId="1" xfId="0" applyFill="1" applyBorder="1"/>
    <xf numFmtId="0" fontId="0" fillId="3" borderId="0" xfId="0" applyFill="1" applyAlignment="1">
      <alignment horizontal="center"/>
    </xf>
    <xf numFmtId="0" fontId="0" fillId="3" borderId="1" xfId="0" applyFill="1" applyBorder="1" applyAlignment="1">
      <alignment wrapText="1"/>
    </xf>
    <xf numFmtId="0" fontId="0" fillId="3" borderId="0" xfId="0" applyFill="1"/>
    <xf numFmtId="0" fontId="0" fillId="3" borderId="0" xfId="0" applyFill="1" applyAlignment="1">
      <alignment wrapText="1"/>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0" borderId="1" xfId="0" applyBorder="1" applyAlignment="1">
      <alignment horizontal="center" vertical="center"/>
    </xf>
    <xf numFmtId="0" fontId="1" fillId="9" borderId="1" xfId="0" applyFont="1" applyFill="1" applyBorder="1" applyAlignment="1">
      <alignment horizontal="center" vertical="center"/>
    </xf>
    <xf numFmtId="0" fontId="2" fillId="0" borderId="0" xfId="0" applyFont="1"/>
    <xf numFmtId="0" fontId="1" fillId="10" borderId="0" xfId="0" applyFont="1" applyFill="1"/>
    <xf numFmtId="0" fontId="1" fillId="11" borderId="0" xfId="0" applyFont="1" applyFill="1"/>
    <xf numFmtId="0" fontId="1" fillId="9" borderId="0" xfId="0" applyFont="1" applyFill="1"/>
    <xf numFmtId="0" fontId="1" fillId="12" borderId="0" xfId="0" applyFont="1" applyFill="1"/>
    <xf numFmtId="0" fontId="0" fillId="1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pType" displayName="PropType" ref="A1:A7" headerRowCount="0">
  <tableColumns count="1">
    <tableColumn id="1" xr3:uid="{00000000-0010-0000-0000-000001000000}"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pType3" displayName="PropType3" ref="B1:B19" headerRowCount="0">
  <tableColumns count="1">
    <tableColumn id="1" xr3:uid="{00000000-0010-0000-0100-000001000000}"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7"/>
  <sheetViews>
    <sheetView topLeftCell="A3" zoomScale="125" zoomScaleNormal="100" workbookViewId="0">
      <selection activeCell="D12" sqref="D12"/>
    </sheetView>
  </sheetViews>
  <sheetFormatPr baseColWidth="10" defaultColWidth="8.83203125" defaultRowHeight="15" x14ac:dyDescent="0.2"/>
  <cols>
    <col min="1" max="1" width="16.1640625" customWidth="1"/>
    <col min="2" max="2" width="13.83203125" customWidth="1"/>
    <col min="3" max="3" width="11.33203125" style="1" customWidth="1"/>
    <col min="4" max="4" width="104.5" style="2" customWidth="1"/>
  </cols>
  <sheetData>
    <row r="1" spans="1:4" ht="16" customHeight="1" x14ac:dyDescent="0.2">
      <c r="A1" s="3" t="s">
        <v>0</v>
      </c>
      <c r="B1" s="4" t="s">
        <v>1</v>
      </c>
      <c r="C1" s="4" t="s">
        <v>2</v>
      </c>
      <c r="D1" s="5" t="s">
        <v>3</v>
      </c>
    </row>
    <row r="2" spans="1:4" ht="16" customHeight="1" x14ac:dyDescent="0.2">
      <c r="A2" s="6" t="s">
        <v>4</v>
      </c>
      <c r="B2" s="6" t="s">
        <v>103</v>
      </c>
      <c r="C2" s="7" t="s">
        <v>5</v>
      </c>
      <c r="D2" s="8" t="s">
        <v>6</v>
      </c>
    </row>
    <row r="3" spans="1:4" ht="16" customHeight="1" x14ac:dyDescent="0.2">
      <c r="A3" s="6" t="s">
        <v>4</v>
      </c>
      <c r="B3" s="6" t="s">
        <v>7</v>
      </c>
      <c r="C3" s="7" t="s">
        <v>5</v>
      </c>
      <c r="D3" s="2" t="s">
        <v>8</v>
      </c>
    </row>
    <row r="4" spans="1:4" ht="32" customHeight="1" x14ac:dyDescent="0.2">
      <c r="A4" s="6" t="s">
        <v>4</v>
      </c>
      <c r="B4" s="6" t="s">
        <v>9</v>
      </c>
      <c r="C4" s="7" t="s">
        <v>10</v>
      </c>
      <c r="D4" s="8" t="s">
        <v>11</v>
      </c>
    </row>
    <row r="5" spans="1:4" ht="32" customHeight="1" x14ac:dyDescent="0.2">
      <c r="A5" s="6" t="s">
        <v>4</v>
      </c>
      <c r="B5" s="6" t="s">
        <v>12</v>
      </c>
      <c r="C5" s="7" t="s">
        <v>5</v>
      </c>
      <c r="D5" s="8" t="s">
        <v>13</v>
      </c>
    </row>
    <row r="6" spans="1:4" ht="16" customHeight="1" x14ac:dyDescent="0.2">
      <c r="A6" s="6" t="s">
        <v>4</v>
      </c>
      <c r="B6" s="6" t="s">
        <v>14</v>
      </c>
      <c r="C6" s="7" t="s">
        <v>5</v>
      </c>
      <c r="D6" s="8" t="s">
        <v>15</v>
      </c>
    </row>
    <row r="7" spans="1:4" ht="16" customHeight="1" x14ac:dyDescent="0.2">
      <c r="A7" s="6" t="s">
        <v>4</v>
      </c>
      <c r="B7" s="6" t="s">
        <v>16</v>
      </c>
      <c r="C7" s="7" t="s">
        <v>10</v>
      </c>
      <c r="D7" s="8" t="s">
        <v>17</v>
      </c>
    </row>
    <row r="8" spans="1:4" ht="16" customHeight="1" x14ac:dyDescent="0.2">
      <c r="A8" s="6" t="s">
        <v>4</v>
      </c>
      <c r="B8" s="6" t="s">
        <v>18</v>
      </c>
      <c r="C8" s="7" t="s">
        <v>10</v>
      </c>
      <c r="D8" s="8" t="s">
        <v>19</v>
      </c>
    </row>
    <row r="9" spans="1:4" ht="16" customHeight="1" x14ac:dyDescent="0.2">
      <c r="A9" s="6" t="s">
        <v>4</v>
      </c>
      <c r="B9" s="6" t="s">
        <v>20</v>
      </c>
      <c r="C9" s="7" t="s">
        <v>5</v>
      </c>
      <c r="D9" s="8" t="s">
        <v>21</v>
      </c>
    </row>
    <row r="10" spans="1:4" ht="16" customHeight="1" x14ac:dyDescent="0.2">
      <c r="A10" s="6" t="s">
        <v>4</v>
      </c>
      <c r="B10" s="6" t="s">
        <v>22</v>
      </c>
      <c r="C10" s="7" t="s">
        <v>23</v>
      </c>
      <c r="D10" s="8" t="s">
        <v>24</v>
      </c>
    </row>
    <row r="11" spans="1:4" ht="32" customHeight="1" x14ac:dyDescent="0.2">
      <c r="A11" s="6" t="s">
        <v>4</v>
      </c>
      <c r="B11" s="6" t="s">
        <v>25</v>
      </c>
      <c r="C11" s="7" t="s">
        <v>23</v>
      </c>
      <c r="D11" s="8" t="s">
        <v>26</v>
      </c>
    </row>
    <row r="12" spans="1:4" ht="16" customHeight="1" x14ac:dyDescent="0.2">
      <c r="A12" s="6" t="s">
        <v>4</v>
      </c>
      <c r="B12" s="6" t="s">
        <v>27</v>
      </c>
      <c r="C12" s="7" t="s">
        <v>23</v>
      </c>
      <c r="D12" s="8" t="s">
        <v>28</v>
      </c>
    </row>
    <row r="13" spans="1:4" ht="32" customHeight="1" x14ac:dyDescent="0.2">
      <c r="A13" s="6" t="s">
        <v>4</v>
      </c>
      <c r="B13" s="6" t="s">
        <v>29</v>
      </c>
      <c r="C13" s="7" t="s">
        <v>5</v>
      </c>
      <c r="D13" s="8" t="s">
        <v>30</v>
      </c>
    </row>
    <row r="14" spans="1:4" ht="32" customHeight="1" x14ac:dyDescent="0.2">
      <c r="A14" s="6" t="s">
        <v>4</v>
      </c>
      <c r="B14" s="6" t="s">
        <v>31</v>
      </c>
      <c r="C14" s="7" t="s">
        <v>5</v>
      </c>
      <c r="D14" s="8" t="s">
        <v>32</v>
      </c>
    </row>
    <row r="15" spans="1:4" ht="32" customHeight="1" x14ac:dyDescent="0.2">
      <c r="A15" s="6" t="s">
        <v>4</v>
      </c>
      <c r="B15" s="6" t="s">
        <v>33</v>
      </c>
      <c r="C15" s="7" t="s">
        <v>23</v>
      </c>
      <c r="D15" s="8" t="s">
        <v>34</v>
      </c>
    </row>
    <row r="16" spans="1:4" ht="16" customHeight="1" x14ac:dyDescent="0.2">
      <c r="A16" s="6" t="s">
        <v>4</v>
      </c>
      <c r="B16" s="6" t="s">
        <v>35</v>
      </c>
      <c r="C16" s="7" t="s">
        <v>23</v>
      </c>
      <c r="D16" s="8" t="s">
        <v>36</v>
      </c>
    </row>
    <row r="17" spans="1:4" ht="16" customHeight="1" x14ac:dyDescent="0.2">
      <c r="A17" s="6" t="s">
        <v>4</v>
      </c>
      <c r="B17" s="6" t="s">
        <v>37</v>
      </c>
      <c r="C17" s="7" t="s">
        <v>5</v>
      </c>
      <c r="D17" s="8" t="s">
        <v>38</v>
      </c>
    </row>
    <row r="18" spans="1:4" ht="16" customHeight="1" x14ac:dyDescent="0.2">
      <c r="A18" s="6" t="s">
        <v>4</v>
      </c>
      <c r="B18" s="6" t="s">
        <v>39</v>
      </c>
      <c r="C18" s="7" t="s">
        <v>5</v>
      </c>
      <c r="D18" s="8" t="s">
        <v>40</v>
      </c>
    </row>
    <row r="19" spans="1:4" ht="16" customHeight="1" x14ac:dyDescent="0.2">
      <c r="A19" s="6" t="s">
        <v>4</v>
      </c>
      <c r="B19" s="6" t="s">
        <v>41</v>
      </c>
      <c r="C19" s="7" t="s">
        <v>42</v>
      </c>
      <c r="D19" s="8" t="s">
        <v>43</v>
      </c>
    </row>
    <row r="20" spans="1:4" ht="16" customHeight="1" x14ac:dyDescent="0.2">
      <c r="A20" s="6" t="s">
        <v>4</v>
      </c>
      <c r="B20" s="6" t="s">
        <v>44</v>
      </c>
      <c r="C20" s="7" t="s">
        <v>42</v>
      </c>
      <c r="D20" s="8" t="s">
        <v>45</v>
      </c>
    </row>
    <row r="21" spans="1:4" ht="48" customHeight="1" x14ac:dyDescent="0.2">
      <c r="A21" s="6" t="s">
        <v>4</v>
      </c>
      <c r="B21" s="6" t="s">
        <v>46</v>
      </c>
      <c r="C21" s="7" t="s">
        <v>5</v>
      </c>
      <c r="D21" s="8" t="s">
        <v>47</v>
      </c>
    </row>
    <row r="22" spans="1:4" ht="28.5" customHeight="1" x14ac:dyDescent="0.2">
      <c r="A22" s="6" t="s">
        <v>4</v>
      </c>
      <c r="B22" s="6" t="s">
        <v>48</v>
      </c>
      <c r="C22" s="7" t="s">
        <v>23</v>
      </c>
      <c r="D22" s="8" t="s">
        <v>49</v>
      </c>
    </row>
    <row r="23" spans="1:4" ht="32" customHeight="1" x14ac:dyDescent="0.2">
      <c r="A23" s="6" t="s">
        <v>4</v>
      </c>
      <c r="B23" s="6" t="s">
        <v>50</v>
      </c>
      <c r="C23" s="7" t="s">
        <v>23</v>
      </c>
      <c r="D23" s="8" t="s">
        <v>51</v>
      </c>
    </row>
    <row r="24" spans="1:4" ht="16" customHeight="1" x14ac:dyDescent="0.2">
      <c r="A24" s="6" t="s">
        <v>4</v>
      </c>
      <c r="B24" s="6" t="s">
        <v>52</v>
      </c>
      <c r="C24" s="7" t="s">
        <v>5</v>
      </c>
      <c r="D24" s="8" t="s">
        <v>53</v>
      </c>
    </row>
    <row r="25" spans="1:4" ht="16" customHeight="1" x14ac:dyDescent="0.2">
      <c r="A25" s="6" t="s">
        <v>4</v>
      </c>
      <c r="B25" s="6" t="s">
        <v>54</v>
      </c>
      <c r="C25" s="7" t="s">
        <v>5</v>
      </c>
      <c r="D25" s="8" t="s">
        <v>55</v>
      </c>
    </row>
    <row r="26" spans="1:4" ht="16" customHeight="1" x14ac:dyDescent="0.2">
      <c r="A26" s="6" t="s">
        <v>4</v>
      </c>
      <c r="B26" s="6" t="s">
        <v>56</v>
      </c>
      <c r="C26" s="7" t="s">
        <v>42</v>
      </c>
      <c r="D26" s="8" t="s">
        <v>57</v>
      </c>
    </row>
    <row r="27" spans="1:4" ht="32" customHeight="1" x14ac:dyDescent="0.2">
      <c r="A27" s="6" t="s">
        <v>4</v>
      </c>
      <c r="B27" s="6" t="s">
        <v>58</v>
      </c>
      <c r="C27" s="7" t="s">
        <v>10</v>
      </c>
      <c r="D27" s="8" t="s">
        <v>59</v>
      </c>
    </row>
    <row r="28" spans="1:4" ht="48" customHeight="1" x14ac:dyDescent="0.2">
      <c r="A28" s="6" t="s">
        <v>4</v>
      </c>
      <c r="B28" s="6" t="s">
        <v>60</v>
      </c>
      <c r="C28" s="7" t="s">
        <v>5</v>
      </c>
      <c r="D28" s="8" t="s">
        <v>61</v>
      </c>
    </row>
    <row r="29" spans="1:4" ht="16" customHeight="1" x14ac:dyDescent="0.2">
      <c r="A29" s="6" t="s">
        <v>4</v>
      </c>
      <c r="B29" s="6" t="s">
        <v>62</v>
      </c>
      <c r="C29" s="7" t="s">
        <v>23</v>
      </c>
      <c r="D29" s="8" t="s">
        <v>49</v>
      </c>
    </row>
    <row r="30" spans="1:4" ht="32" customHeight="1" x14ac:dyDescent="0.2">
      <c r="A30" s="6" t="s">
        <v>4</v>
      </c>
      <c r="B30" s="6" t="s">
        <v>63</v>
      </c>
      <c r="C30" s="7" t="s">
        <v>23</v>
      </c>
      <c r="D30" s="8" t="s">
        <v>51</v>
      </c>
    </row>
    <row r="31" spans="1:4" ht="16" customHeight="1" x14ac:dyDescent="0.2">
      <c r="A31" s="6" t="s">
        <v>4</v>
      </c>
      <c r="B31" s="6" t="s">
        <v>64</v>
      </c>
      <c r="C31" s="7" t="s">
        <v>5</v>
      </c>
      <c r="D31" s="8" t="s">
        <v>65</v>
      </c>
    </row>
    <row r="32" spans="1:4" ht="16" customHeight="1" x14ac:dyDescent="0.2">
      <c r="A32" s="6" t="s">
        <v>4</v>
      </c>
      <c r="B32" s="6" t="s">
        <v>66</v>
      </c>
      <c r="C32" s="7" t="s">
        <v>5</v>
      </c>
      <c r="D32" s="8" t="s">
        <v>67</v>
      </c>
    </row>
    <row r="33" spans="1:4" ht="16" customHeight="1" x14ac:dyDescent="0.2">
      <c r="A33" s="6" t="s">
        <v>4</v>
      </c>
      <c r="B33" s="6" t="s">
        <v>68</v>
      </c>
      <c r="C33" s="7" t="s">
        <v>42</v>
      </c>
      <c r="D33" s="8" t="s">
        <v>69</v>
      </c>
    </row>
    <row r="34" spans="1:4" ht="32" customHeight="1" x14ac:dyDescent="0.2">
      <c r="A34" s="6" t="s">
        <v>4</v>
      </c>
      <c r="B34" s="6" t="s">
        <v>70</v>
      </c>
      <c r="C34" s="7" t="s">
        <v>10</v>
      </c>
      <c r="D34" s="8" t="s">
        <v>71</v>
      </c>
    </row>
    <row r="35" spans="1:4" ht="48" customHeight="1" x14ac:dyDescent="0.2">
      <c r="A35" s="6" t="s">
        <v>4</v>
      </c>
      <c r="B35" s="6" t="s">
        <v>72</v>
      </c>
      <c r="C35" s="7" t="s">
        <v>5</v>
      </c>
      <c r="D35" s="8" t="s">
        <v>73</v>
      </c>
    </row>
    <row r="36" spans="1:4" ht="16" customHeight="1" x14ac:dyDescent="0.2">
      <c r="A36" s="6" t="s">
        <v>4</v>
      </c>
      <c r="B36" s="6" t="s">
        <v>74</v>
      </c>
      <c r="C36" s="7" t="s">
        <v>23</v>
      </c>
      <c r="D36" s="8" t="s">
        <v>75</v>
      </c>
    </row>
    <row r="37" spans="1:4" ht="32" customHeight="1" x14ac:dyDescent="0.2">
      <c r="A37" s="6" t="s">
        <v>4</v>
      </c>
      <c r="B37" s="6" t="s">
        <v>76</v>
      </c>
      <c r="C37" s="7" t="s">
        <v>23</v>
      </c>
      <c r="D37" s="8" t="s">
        <v>77</v>
      </c>
    </row>
    <row r="38" spans="1:4" ht="16" customHeight="1" x14ac:dyDescent="0.2">
      <c r="A38" s="6" t="s">
        <v>4</v>
      </c>
      <c r="B38" s="6" t="s">
        <v>78</v>
      </c>
      <c r="C38" s="7" t="s">
        <v>5</v>
      </c>
      <c r="D38" s="8" t="s">
        <v>79</v>
      </c>
    </row>
    <row r="39" spans="1:4" ht="16" customHeight="1" x14ac:dyDescent="0.2">
      <c r="A39" s="6" t="s">
        <v>4</v>
      </c>
      <c r="B39" s="6" t="s">
        <v>80</v>
      </c>
      <c r="C39" s="7" t="s">
        <v>5</v>
      </c>
      <c r="D39" s="8" t="s">
        <v>81</v>
      </c>
    </row>
    <row r="40" spans="1:4" ht="16" customHeight="1" x14ac:dyDescent="0.2">
      <c r="A40" s="6" t="s">
        <v>4</v>
      </c>
      <c r="B40" s="6" t="s">
        <v>82</v>
      </c>
      <c r="C40" s="7" t="s">
        <v>42</v>
      </c>
      <c r="D40" s="8" t="s">
        <v>83</v>
      </c>
    </row>
    <row r="41" spans="1:4" ht="32" customHeight="1" x14ac:dyDescent="0.2">
      <c r="A41" s="6" t="s">
        <v>4</v>
      </c>
      <c r="B41" s="6" t="s">
        <v>84</v>
      </c>
      <c r="C41" s="7" t="s">
        <v>10</v>
      </c>
      <c r="D41" s="8" t="s">
        <v>85</v>
      </c>
    </row>
    <row r="42" spans="1:4" ht="48" customHeight="1" x14ac:dyDescent="0.2">
      <c r="A42" s="6" t="s">
        <v>4</v>
      </c>
      <c r="B42" s="6" t="s">
        <v>86</v>
      </c>
      <c r="C42" s="7" t="s">
        <v>5</v>
      </c>
      <c r="D42" s="8" t="s">
        <v>87</v>
      </c>
    </row>
    <row r="43" spans="1:4" ht="16" customHeight="1" x14ac:dyDescent="0.2">
      <c r="A43" s="6" t="s">
        <v>4</v>
      </c>
      <c r="B43" s="6" t="s">
        <v>88</v>
      </c>
      <c r="C43" s="7" t="s">
        <v>23</v>
      </c>
      <c r="D43" s="8" t="s">
        <v>89</v>
      </c>
    </row>
    <row r="44" spans="1:4" ht="32" customHeight="1" x14ac:dyDescent="0.2">
      <c r="A44" s="6" t="s">
        <v>4</v>
      </c>
      <c r="B44" s="6" t="s">
        <v>90</v>
      </c>
      <c r="C44" s="7" t="s">
        <v>23</v>
      </c>
      <c r="D44" s="8" t="s">
        <v>91</v>
      </c>
    </row>
    <row r="45" spans="1:4" ht="16" customHeight="1" x14ac:dyDescent="0.2">
      <c r="A45" s="6" t="s">
        <v>4</v>
      </c>
      <c r="B45" s="6" t="s">
        <v>92</v>
      </c>
      <c r="C45" s="7" t="s">
        <v>5</v>
      </c>
      <c r="D45" s="8" t="s">
        <v>93</v>
      </c>
    </row>
    <row r="46" spans="1:4" ht="16" customHeight="1" x14ac:dyDescent="0.2">
      <c r="A46" s="6" t="s">
        <v>4</v>
      </c>
      <c r="B46" s="6" t="s">
        <v>94</v>
      </c>
      <c r="C46" s="7" t="s">
        <v>5</v>
      </c>
      <c r="D46" s="8" t="s">
        <v>95</v>
      </c>
    </row>
    <row r="47" spans="1:4" ht="16" customHeight="1" x14ac:dyDescent="0.2">
      <c r="A47" s="6" t="s">
        <v>4</v>
      </c>
      <c r="B47" s="6" t="s">
        <v>96</v>
      </c>
      <c r="C47" s="7" t="s">
        <v>42</v>
      </c>
      <c r="D47" s="8" t="s">
        <v>97</v>
      </c>
    </row>
    <row r="48" spans="1:4" ht="32" customHeight="1" x14ac:dyDescent="0.2">
      <c r="A48" s="6" t="s">
        <v>4</v>
      </c>
      <c r="B48" s="6" t="s">
        <v>98</v>
      </c>
      <c r="C48" s="7" t="s">
        <v>10</v>
      </c>
      <c r="D48" s="8" t="s">
        <v>99</v>
      </c>
    </row>
    <row r="49" spans="1:4" ht="48" customHeight="1" x14ac:dyDescent="0.2">
      <c r="A49" s="6" t="s">
        <v>4</v>
      </c>
      <c r="B49" s="6" t="s">
        <v>100</v>
      </c>
      <c r="C49" s="7" t="s">
        <v>5</v>
      </c>
      <c r="D49" s="8" t="s">
        <v>101</v>
      </c>
    </row>
    <row r="50" spans="1:4" x14ac:dyDescent="0.2">
      <c r="A50" s="9"/>
      <c r="B50" s="9"/>
      <c r="C50" s="10"/>
      <c r="D50" s="11"/>
    </row>
    <row r="51" spans="1:4" ht="16" customHeight="1" x14ac:dyDescent="0.2">
      <c r="A51" s="6" t="s">
        <v>102</v>
      </c>
      <c r="B51" s="6" t="s">
        <v>103</v>
      </c>
      <c r="C51" s="7" t="s">
        <v>5</v>
      </c>
      <c r="D51" s="8" t="s">
        <v>104</v>
      </c>
    </row>
    <row r="52" spans="1:4" ht="16" customHeight="1" x14ac:dyDescent="0.2">
      <c r="A52" s="6" t="s">
        <v>102</v>
      </c>
      <c r="B52" s="6" t="s">
        <v>105</v>
      </c>
      <c r="C52" s="7" t="s">
        <v>5</v>
      </c>
      <c r="D52" s="8" t="s">
        <v>106</v>
      </c>
    </row>
    <row r="53" spans="1:4" ht="16" customHeight="1" x14ac:dyDescent="0.2">
      <c r="A53" s="6" t="s">
        <v>102</v>
      </c>
      <c r="B53" s="6" t="s">
        <v>107</v>
      </c>
      <c r="C53" s="7" t="s">
        <v>5</v>
      </c>
      <c r="D53" s="8" t="s">
        <v>108</v>
      </c>
    </row>
    <row r="54" spans="1:4" ht="16" customHeight="1" x14ac:dyDescent="0.2">
      <c r="A54" s="6" t="s">
        <v>102</v>
      </c>
      <c r="B54" s="6" t="s">
        <v>109</v>
      </c>
      <c r="C54" s="7" t="s">
        <v>5</v>
      </c>
      <c r="D54" s="8" t="s">
        <v>110</v>
      </c>
    </row>
    <row r="55" spans="1:4" ht="16" customHeight="1" x14ac:dyDescent="0.2">
      <c r="A55" s="6" t="s">
        <v>102</v>
      </c>
      <c r="B55" s="6" t="s">
        <v>111</v>
      </c>
      <c r="C55" s="7" t="s">
        <v>5</v>
      </c>
      <c r="D55" s="8" t="s">
        <v>112</v>
      </c>
    </row>
    <row r="56" spans="1:4" ht="16" customHeight="1" x14ac:dyDescent="0.2">
      <c r="A56" s="6" t="s">
        <v>102</v>
      </c>
      <c r="B56" s="6" t="s">
        <v>113</v>
      </c>
      <c r="C56" s="7" t="s">
        <v>5</v>
      </c>
      <c r="D56" s="8" t="s">
        <v>114</v>
      </c>
    </row>
    <row r="57" spans="1:4" ht="16" customHeight="1" x14ac:dyDescent="0.2">
      <c r="A57" s="6" t="s">
        <v>102</v>
      </c>
      <c r="B57" s="6" t="s">
        <v>115</v>
      </c>
      <c r="C57" s="7" t="s">
        <v>5</v>
      </c>
      <c r="D57" s="8" t="s">
        <v>116</v>
      </c>
    </row>
    <row r="58" spans="1:4" ht="16" customHeight="1" x14ac:dyDescent="0.2">
      <c r="A58" s="6" t="s">
        <v>102</v>
      </c>
      <c r="B58" s="6" t="s">
        <v>117</v>
      </c>
      <c r="C58" s="7" t="s">
        <v>5</v>
      </c>
      <c r="D58" s="8" t="s">
        <v>118</v>
      </c>
    </row>
    <row r="59" spans="1:4" ht="16" customHeight="1" x14ac:dyDescent="0.2">
      <c r="A59" s="6" t="s">
        <v>102</v>
      </c>
      <c r="B59" s="6" t="s">
        <v>119</v>
      </c>
      <c r="C59" s="7" t="s">
        <v>5</v>
      </c>
      <c r="D59" s="8" t="s">
        <v>120</v>
      </c>
    </row>
    <row r="60" spans="1:4" ht="16" customHeight="1" x14ac:dyDescent="0.2">
      <c r="A60" s="6" t="s">
        <v>102</v>
      </c>
      <c r="B60" s="6" t="s">
        <v>121</v>
      </c>
      <c r="C60" s="7" t="s">
        <v>5</v>
      </c>
      <c r="D60" s="8" t="s">
        <v>122</v>
      </c>
    </row>
    <row r="61" spans="1:4" ht="16" customHeight="1" x14ac:dyDescent="0.2">
      <c r="A61" s="6" t="s">
        <v>102</v>
      </c>
      <c r="B61" s="6" t="s">
        <v>123</v>
      </c>
      <c r="C61" s="7" t="s">
        <v>5</v>
      </c>
      <c r="D61" s="8" t="s">
        <v>124</v>
      </c>
    </row>
    <row r="62" spans="1:4" ht="16" customHeight="1" x14ac:dyDescent="0.2">
      <c r="A62" s="6" t="s">
        <v>102</v>
      </c>
      <c r="B62" s="6" t="s">
        <v>125</v>
      </c>
      <c r="C62" s="7" t="s">
        <v>5</v>
      </c>
      <c r="D62" s="8" t="s">
        <v>126</v>
      </c>
    </row>
    <row r="63" spans="1:4" ht="16" customHeight="1" x14ac:dyDescent="0.2">
      <c r="A63" s="6" t="s">
        <v>102</v>
      </c>
      <c r="B63" s="6" t="s">
        <v>127</v>
      </c>
      <c r="C63" s="7" t="s">
        <v>5</v>
      </c>
      <c r="D63" s="8" t="s">
        <v>128</v>
      </c>
    </row>
    <row r="64" spans="1:4" ht="16" customHeight="1" x14ac:dyDescent="0.2">
      <c r="A64" s="6" t="s">
        <v>102</v>
      </c>
      <c r="B64" s="6" t="s">
        <v>129</v>
      </c>
      <c r="C64" s="7" t="s">
        <v>5</v>
      </c>
      <c r="D64" s="8" t="s">
        <v>130</v>
      </c>
    </row>
    <row r="65" spans="1:4" ht="16" customHeight="1" x14ac:dyDescent="0.2">
      <c r="A65" s="6" t="s">
        <v>102</v>
      </c>
      <c r="B65" s="6" t="s">
        <v>131</v>
      </c>
      <c r="C65" s="7" t="s">
        <v>5</v>
      </c>
      <c r="D65" s="8" t="s">
        <v>132</v>
      </c>
    </row>
    <row r="66" spans="1:4" ht="16" customHeight="1" x14ac:dyDescent="0.2">
      <c r="A66" s="6" t="s">
        <v>102</v>
      </c>
      <c r="B66" s="6" t="s">
        <v>133</v>
      </c>
      <c r="C66" s="7" t="s">
        <v>5</v>
      </c>
      <c r="D66" s="8" t="s">
        <v>134</v>
      </c>
    </row>
    <row r="67" spans="1:4" ht="16" customHeight="1" x14ac:dyDescent="0.2">
      <c r="A67" s="6" t="s">
        <v>102</v>
      </c>
      <c r="B67" s="6" t="s">
        <v>135</v>
      </c>
      <c r="C67" s="7" t="s">
        <v>5</v>
      </c>
      <c r="D67" s="8" t="s">
        <v>136</v>
      </c>
    </row>
    <row r="68" spans="1:4" ht="16" customHeight="1" x14ac:dyDescent="0.2">
      <c r="A68" s="6" t="s">
        <v>102</v>
      </c>
      <c r="B68" s="6" t="s">
        <v>137</v>
      </c>
      <c r="C68" s="7" t="s">
        <v>5</v>
      </c>
      <c r="D68" s="8" t="s">
        <v>138</v>
      </c>
    </row>
    <row r="69" spans="1:4" ht="16" customHeight="1" x14ac:dyDescent="0.2">
      <c r="A69" s="6" t="s">
        <v>102</v>
      </c>
      <c r="B69" s="6" t="s">
        <v>139</v>
      </c>
      <c r="C69" s="7" t="s">
        <v>5</v>
      </c>
      <c r="D69" s="8" t="s">
        <v>140</v>
      </c>
    </row>
    <row r="70" spans="1:4" ht="16" customHeight="1" x14ac:dyDescent="0.2">
      <c r="A70" s="6" t="s">
        <v>102</v>
      </c>
      <c r="B70" s="6" t="s">
        <v>141</v>
      </c>
      <c r="C70" s="7" t="s">
        <v>5</v>
      </c>
      <c r="D70" s="8" t="s">
        <v>142</v>
      </c>
    </row>
    <row r="71" spans="1:4" x14ac:dyDescent="0.2">
      <c r="A71" s="12"/>
      <c r="B71" s="12"/>
      <c r="C71" s="10"/>
      <c r="D71" s="13"/>
    </row>
    <row r="72" spans="1:4" ht="16" customHeight="1" x14ac:dyDescent="0.2">
      <c r="A72" s="6" t="s">
        <v>143</v>
      </c>
      <c r="B72" s="6" t="s">
        <v>103</v>
      </c>
      <c r="C72" s="7" t="s">
        <v>5</v>
      </c>
      <c r="D72" s="8" t="s">
        <v>104</v>
      </c>
    </row>
    <row r="73" spans="1:4" ht="16" customHeight="1" x14ac:dyDescent="0.2">
      <c r="A73" s="6" t="s">
        <v>143</v>
      </c>
      <c r="B73" s="6" t="s">
        <v>144</v>
      </c>
      <c r="C73" s="7" t="s">
        <v>5</v>
      </c>
      <c r="D73" s="8" t="s">
        <v>145</v>
      </c>
    </row>
    <row r="74" spans="1:4" ht="16" customHeight="1" x14ac:dyDescent="0.2">
      <c r="A74" s="6" t="s">
        <v>143</v>
      </c>
      <c r="B74" s="6" t="s">
        <v>146</v>
      </c>
      <c r="C74" s="7" t="s">
        <v>5</v>
      </c>
      <c r="D74" s="8" t="s">
        <v>147</v>
      </c>
    </row>
    <row r="75" spans="1:4" ht="16" customHeight="1" x14ac:dyDescent="0.2">
      <c r="A75" s="6" t="s">
        <v>143</v>
      </c>
      <c r="B75" s="6" t="s">
        <v>148</v>
      </c>
      <c r="C75" s="7" t="s">
        <v>149</v>
      </c>
      <c r="D75" s="8" t="s">
        <v>150</v>
      </c>
    </row>
    <row r="76" spans="1:4" ht="16" customHeight="1" x14ac:dyDescent="0.2">
      <c r="A76" s="6" t="s">
        <v>143</v>
      </c>
      <c r="B76" s="6" t="s">
        <v>151</v>
      </c>
      <c r="C76" s="7" t="s">
        <v>152</v>
      </c>
      <c r="D76" s="8" t="s">
        <v>153</v>
      </c>
    </row>
    <row r="77" spans="1:4" ht="32" customHeight="1" x14ac:dyDescent="0.2">
      <c r="A77" s="6" t="s">
        <v>143</v>
      </c>
      <c r="B77" s="6" t="s">
        <v>154</v>
      </c>
      <c r="C77" s="7" t="s">
        <v>149</v>
      </c>
      <c r="D77" s="8" t="s">
        <v>155</v>
      </c>
    </row>
    <row r="78" spans="1:4" ht="32" customHeight="1" x14ac:dyDescent="0.2">
      <c r="A78" s="6" t="s">
        <v>143</v>
      </c>
      <c r="B78" s="6" t="s">
        <v>156</v>
      </c>
      <c r="C78" s="7" t="s">
        <v>152</v>
      </c>
      <c r="D78" s="8" t="s">
        <v>157</v>
      </c>
    </row>
    <row r="79" spans="1:4" ht="16" customHeight="1" x14ac:dyDescent="0.2">
      <c r="A79" s="6" t="s">
        <v>143</v>
      </c>
      <c r="B79" s="6" t="s">
        <v>158</v>
      </c>
      <c r="C79" s="7" t="s">
        <v>5</v>
      </c>
      <c r="D79" s="8" t="s">
        <v>159</v>
      </c>
    </row>
    <row r="80" spans="1:4" ht="16" customHeight="1" x14ac:dyDescent="0.2">
      <c r="A80" s="6" t="s">
        <v>143</v>
      </c>
      <c r="B80" s="6" t="s">
        <v>160</v>
      </c>
      <c r="C80" s="7" t="s">
        <v>161</v>
      </c>
      <c r="D80" s="8" t="s">
        <v>162</v>
      </c>
    </row>
    <row r="81" spans="1:4" ht="16" customHeight="1" x14ac:dyDescent="0.2">
      <c r="A81" s="6" t="s">
        <v>143</v>
      </c>
      <c r="B81" s="6" t="s">
        <v>163</v>
      </c>
      <c r="C81" s="7" t="s">
        <v>164</v>
      </c>
      <c r="D81" s="8" t="s">
        <v>165</v>
      </c>
    </row>
    <row r="82" spans="1:4" ht="16" customHeight="1" x14ac:dyDescent="0.2">
      <c r="A82" s="6" t="s">
        <v>143</v>
      </c>
      <c r="B82" s="6" t="s">
        <v>166</v>
      </c>
      <c r="C82" s="7" t="s">
        <v>5</v>
      </c>
      <c r="D82" s="8" t="s">
        <v>167</v>
      </c>
    </row>
    <row r="83" spans="1:4" x14ac:dyDescent="0.2">
      <c r="A83" t="s">
        <v>168</v>
      </c>
      <c r="B83" t="s">
        <v>169</v>
      </c>
      <c r="C83" t="s">
        <v>10</v>
      </c>
      <c r="D83" t="s">
        <v>170</v>
      </c>
    </row>
    <row r="84" spans="1:4" x14ac:dyDescent="0.2">
      <c r="A84" t="s">
        <v>168</v>
      </c>
      <c r="B84" t="s">
        <v>171</v>
      </c>
      <c r="C84" t="s">
        <v>10</v>
      </c>
      <c r="D84" t="s">
        <v>170</v>
      </c>
    </row>
    <row r="85" spans="1:4" x14ac:dyDescent="0.2">
      <c r="A85" t="s">
        <v>168</v>
      </c>
      <c r="B85" t="s">
        <v>172</v>
      </c>
      <c r="C85" t="s">
        <v>10</v>
      </c>
      <c r="D85" t="s">
        <v>170</v>
      </c>
    </row>
    <row r="86" spans="1:4" x14ac:dyDescent="0.2">
      <c r="A86" t="s">
        <v>168</v>
      </c>
      <c r="B86" t="s">
        <v>173</v>
      </c>
      <c r="C86" t="s">
        <v>10</v>
      </c>
      <c r="D86" t="s">
        <v>170</v>
      </c>
    </row>
    <row r="87" spans="1:4" x14ac:dyDescent="0.2">
      <c r="A87" t="s">
        <v>168</v>
      </c>
      <c r="B87" t="s">
        <v>174</v>
      </c>
      <c r="C87" t="s">
        <v>10</v>
      </c>
      <c r="D87" t="s">
        <v>170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2"/>
  <sheetViews>
    <sheetView topLeftCell="H1" zoomScale="166" zoomScaleNormal="100" workbookViewId="0">
      <selection activeCell="N2" sqref="N2"/>
    </sheetView>
  </sheetViews>
  <sheetFormatPr baseColWidth="10" defaultColWidth="8.83203125" defaultRowHeight="15" x14ac:dyDescent="0.2"/>
  <cols>
    <col min="1" max="1" width="8.83203125" style="7" customWidth="1"/>
    <col min="2" max="2" width="26.6640625" style="7" customWidth="1"/>
    <col min="3" max="3" width="9.83203125" style="7" customWidth="1"/>
    <col min="4" max="12" width="8.83203125" style="7" customWidth="1"/>
    <col min="13" max="13" width="6.83203125" style="7" customWidth="1"/>
    <col min="14" max="14" width="8.83203125" style="7" customWidth="1"/>
    <col min="15" max="15" width="12" style="7" customWidth="1"/>
    <col min="16" max="16" width="8.83203125" style="7" customWidth="1"/>
    <col min="17" max="17" width="10.5" style="7" customWidth="1"/>
    <col min="18" max="18" width="16.1640625" style="7" customWidth="1"/>
    <col min="19" max="19" width="15.83203125" style="7" customWidth="1"/>
    <col min="20" max="35" width="8.83203125" style="7" customWidth="1"/>
    <col min="36" max="36" width="12" style="7" customWidth="1"/>
    <col min="37" max="37" width="8.83203125" style="7" customWidth="1"/>
    <col min="38" max="16384" width="8.83203125" style="7"/>
  </cols>
  <sheetData>
    <row r="1" spans="1:48" x14ac:dyDescent="0.2">
      <c r="A1" s="14" t="s">
        <v>103</v>
      </c>
      <c r="B1" s="14" t="s">
        <v>7</v>
      </c>
      <c r="C1" s="14" t="s">
        <v>9</v>
      </c>
      <c r="D1" s="14" t="s">
        <v>12</v>
      </c>
      <c r="E1" s="14" t="s">
        <v>14</v>
      </c>
      <c r="F1" s="14" t="s">
        <v>16</v>
      </c>
      <c r="G1" s="14" t="s">
        <v>18</v>
      </c>
      <c r="H1" s="14" t="s">
        <v>20</v>
      </c>
      <c r="I1" s="14" t="s">
        <v>22</v>
      </c>
      <c r="J1" s="14" t="s">
        <v>25</v>
      </c>
      <c r="K1" s="14" t="s">
        <v>27</v>
      </c>
      <c r="L1" s="14" t="s">
        <v>29</v>
      </c>
      <c r="M1" s="14" t="s">
        <v>31</v>
      </c>
      <c r="N1" s="15" t="s">
        <v>33</v>
      </c>
      <c r="O1" s="15" t="s">
        <v>35</v>
      </c>
      <c r="P1" s="15" t="s">
        <v>37</v>
      </c>
      <c r="Q1" s="15" t="s">
        <v>39</v>
      </c>
      <c r="R1" s="15" t="s">
        <v>41</v>
      </c>
      <c r="S1" s="15" t="s">
        <v>44</v>
      </c>
      <c r="T1" s="15" t="s">
        <v>46</v>
      </c>
      <c r="U1" s="16" t="s">
        <v>48</v>
      </c>
      <c r="V1" s="16" t="s">
        <v>50</v>
      </c>
      <c r="W1" s="16" t="s">
        <v>52</v>
      </c>
      <c r="X1" s="16" t="s">
        <v>54</v>
      </c>
      <c r="Y1" s="16" t="s">
        <v>56</v>
      </c>
      <c r="Z1" s="16" t="s">
        <v>58</v>
      </c>
      <c r="AA1" s="16" t="s">
        <v>60</v>
      </c>
      <c r="AB1" s="17" t="s">
        <v>62</v>
      </c>
      <c r="AC1" s="17" t="s">
        <v>63</v>
      </c>
      <c r="AD1" s="17" t="s">
        <v>64</v>
      </c>
      <c r="AE1" s="17" t="s">
        <v>66</v>
      </c>
      <c r="AF1" s="17" t="s">
        <v>68</v>
      </c>
      <c r="AG1" s="17" t="s">
        <v>70</v>
      </c>
      <c r="AH1" s="17" t="s">
        <v>72</v>
      </c>
      <c r="AI1" s="18" t="s">
        <v>74</v>
      </c>
      <c r="AJ1" s="18" t="s">
        <v>76</v>
      </c>
      <c r="AK1" s="18" t="s">
        <v>78</v>
      </c>
      <c r="AL1" s="18" t="s">
        <v>80</v>
      </c>
      <c r="AM1" s="18" t="s">
        <v>82</v>
      </c>
      <c r="AN1" s="18" t="s">
        <v>84</v>
      </c>
      <c r="AO1" s="18" t="s">
        <v>86</v>
      </c>
      <c r="AP1" s="19" t="s">
        <v>88</v>
      </c>
      <c r="AQ1" s="19" t="s">
        <v>90</v>
      </c>
      <c r="AR1" s="19" t="s">
        <v>92</v>
      </c>
      <c r="AS1" s="19" t="s">
        <v>94</v>
      </c>
      <c r="AT1" s="19" t="s">
        <v>96</v>
      </c>
      <c r="AU1" s="19" t="s">
        <v>98</v>
      </c>
      <c r="AV1" s="19" t="s">
        <v>100</v>
      </c>
    </row>
    <row r="2" spans="1:48" x14ac:dyDescent="0.2">
      <c r="A2" t="s">
        <v>176</v>
      </c>
      <c r="B2" s="7" t="s">
        <v>175</v>
      </c>
      <c r="C2" s="7">
        <v>0</v>
      </c>
      <c r="D2" s="7">
        <v>4.7300000000000002E-2</v>
      </c>
      <c r="E2" s="7">
        <v>0.20810000000000001</v>
      </c>
      <c r="F2" s="7">
        <v>3.9470000000000001</v>
      </c>
      <c r="G2" s="7">
        <v>0.49199999999999999</v>
      </c>
      <c r="H2" s="7">
        <f t="shared" ref="H2" si="0">F2/G2</f>
        <v>8.0223577235772368</v>
      </c>
      <c r="I2" s="7">
        <f>PI()*(G2/2)^2</f>
        <v>0.19011662102463991</v>
      </c>
      <c r="J2" s="7">
        <v>0</v>
      </c>
      <c r="K2" s="7">
        <f>2*PI()*(G2/2)*F2</f>
        <v>6.1007341722297053</v>
      </c>
      <c r="L2" s="7">
        <v>1.1000000000000001</v>
      </c>
      <c r="M2" s="7">
        <v>2</v>
      </c>
      <c r="N2" s="7">
        <f>10.7639</f>
        <v>10.7639</v>
      </c>
      <c r="O2" s="7">
        <f>2*N2</f>
        <v>21.527799999999999</v>
      </c>
      <c r="P2" s="7">
        <v>4.76</v>
      </c>
      <c r="Q2" s="7">
        <v>0</v>
      </c>
      <c r="R2" s="7">
        <v>0</v>
      </c>
      <c r="S2" s="7">
        <v>0</v>
      </c>
      <c r="T2" s="7">
        <v>1.4</v>
      </c>
      <c r="U2" s="7">
        <f>0.2*N2</f>
        <v>2.1527799999999999</v>
      </c>
      <c r="V2" s="7">
        <f>U2*2</f>
        <v>4.3055599999999998</v>
      </c>
      <c r="W2" s="7">
        <v>3</v>
      </c>
      <c r="X2" s="7">
        <v>0</v>
      </c>
      <c r="Y2" s="7">
        <v>0</v>
      </c>
      <c r="Z2" s="7">
        <v>1.498</v>
      </c>
      <c r="AA2" s="7">
        <v>1.4</v>
      </c>
      <c r="AB2" s="7">
        <v>0</v>
      </c>
      <c r="AC2" s="7">
        <v>0</v>
      </c>
      <c r="AD2" s="7">
        <v>0</v>
      </c>
      <c r="AE2" s="7">
        <v>0</v>
      </c>
      <c r="AF2" s="7">
        <v>0</v>
      </c>
      <c r="AG2" s="7">
        <v>0</v>
      </c>
      <c r="AH2" s="7">
        <v>0</v>
      </c>
      <c r="AI2" s="7">
        <v>1.4962</v>
      </c>
      <c r="AJ2" s="7">
        <f>2*AI2</f>
        <v>2.9923999999999999</v>
      </c>
      <c r="AK2" s="7">
        <v>1.6</v>
      </c>
      <c r="AL2" s="7">
        <v>0.4</v>
      </c>
      <c r="AM2" s="7">
        <v>0</v>
      </c>
      <c r="AN2" s="7">
        <v>0.37140000000000001</v>
      </c>
      <c r="AO2" s="7">
        <v>1.1000000000000001</v>
      </c>
      <c r="AP2" s="7">
        <v>0</v>
      </c>
      <c r="AQ2" s="7">
        <v>0</v>
      </c>
      <c r="AR2" s="7">
        <v>0</v>
      </c>
      <c r="AS2" s="7">
        <v>0</v>
      </c>
      <c r="AT2" s="7">
        <v>0</v>
      </c>
      <c r="AU2" s="7">
        <v>0</v>
      </c>
      <c r="AV2" s="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5"/>
  <sheetViews>
    <sheetView tabSelected="1" zoomScaleNormal="100" workbookViewId="0">
      <selection activeCell="D9" sqref="D9"/>
    </sheetView>
  </sheetViews>
  <sheetFormatPr baseColWidth="10" defaultColWidth="8.83203125" defaultRowHeight="15" x14ac:dyDescent="0.2"/>
  <cols>
    <col min="1" max="1" width="12.5" style="20" customWidth="1"/>
    <col min="2" max="2" width="11.83203125" style="20" customWidth="1"/>
    <col min="3" max="42" width="8.83203125" style="20" customWidth="1"/>
    <col min="43" max="43" width="11.83203125" style="20" customWidth="1"/>
    <col min="44" max="44" width="8.83203125" style="20" customWidth="1"/>
    <col min="45" max="45" width="9.83203125" style="20" customWidth="1"/>
    <col min="46" max="46" width="11.83203125" style="20" customWidth="1"/>
    <col min="47" max="47" width="8.83203125" style="20" customWidth="1"/>
    <col min="48" max="49" width="10.33203125" style="20" customWidth="1"/>
    <col min="50" max="50" width="8.83203125" style="20" customWidth="1"/>
    <col min="51" max="51" width="10.33203125" style="20" customWidth="1"/>
    <col min="52" max="52" width="11.83203125" style="20" customWidth="1"/>
    <col min="53" max="53" width="8.83203125" style="20" customWidth="1"/>
    <col min="54" max="16384" width="8.83203125" style="20"/>
  </cols>
  <sheetData>
    <row r="1" spans="1:54" x14ac:dyDescent="0.2">
      <c r="A1" s="21" t="s">
        <v>103</v>
      </c>
      <c r="B1" s="21" t="s">
        <v>105</v>
      </c>
      <c r="C1" s="21" t="s">
        <v>107</v>
      </c>
      <c r="D1" s="21" t="s">
        <v>109</v>
      </c>
      <c r="E1" s="21" t="s">
        <v>177</v>
      </c>
      <c r="F1" s="21" t="s">
        <v>178</v>
      </c>
      <c r="G1" s="21" t="s">
        <v>179</v>
      </c>
      <c r="H1" s="21" t="s">
        <v>180</v>
      </c>
      <c r="I1" s="21" t="s">
        <v>181</v>
      </c>
      <c r="J1" s="21" t="s">
        <v>182</v>
      </c>
      <c r="K1" s="21" t="s">
        <v>183</v>
      </c>
      <c r="L1" s="21" t="s">
        <v>184</v>
      </c>
      <c r="M1" s="21" t="s">
        <v>185</v>
      </c>
      <c r="N1" s="21" t="s">
        <v>186</v>
      </c>
      <c r="O1" s="21" t="s">
        <v>187</v>
      </c>
      <c r="P1" s="21" t="s">
        <v>188</v>
      </c>
      <c r="Q1" s="21" t="s">
        <v>189</v>
      </c>
      <c r="R1" s="21" t="s">
        <v>190</v>
      </c>
      <c r="S1" s="21" t="s">
        <v>191</v>
      </c>
      <c r="T1" s="21" t="s">
        <v>192</v>
      </c>
      <c r="U1" s="21" t="s">
        <v>193</v>
      </c>
      <c r="V1" s="21" t="s">
        <v>194</v>
      </c>
      <c r="W1" s="21" t="s">
        <v>113</v>
      </c>
      <c r="X1" s="21" t="s">
        <v>195</v>
      </c>
      <c r="Y1" s="21" t="s">
        <v>196</v>
      </c>
      <c r="Z1" s="21" t="s">
        <v>197</v>
      </c>
      <c r="AA1" s="21" t="s">
        <v>198</v>
      </c>
      <c r="AB1" s="21" t="s">
        <v>199</v>
      </c>
      <c r="AC1" s="21" t="s">
        <v>200</v>
      </c>
      <c r="AD1" s="21" t="s">
        <v>201</v>
      </c>
      <c r="AE1" s="21" t="s">
        <v>202</v>
      </c>
      <c r="AF1" s="21" t="s">
        <v>203</v>
      </c>
      <c r="AG1" s="21" t="s">
        <v>204</v>
      </c>
      <c r="AH1" s="21" t="s">
        <v>205</v>
      </c>
      <c r="AI1" s="21" t="s">
        <v>206</v>
      </c>
      <c r="AJ1" s="21" t="s">
        <v>207</v>
      </c>
      <c r="AK1" s="21" t="s">
        <v>208</v>
      </c>
      <c r="AL1" s="21" t="s">
        <v>209</v>
      </c>
      <c r="AM1" s="21" t="s">
        <v>210</v>
      </c>
      <c r="AN1" s="21" t="s">
        <v>211</v>
      </c>
      <c r="AO1" s="21" t="s">
        <v>212</v>
      </c>
      <c r="AP1" s="21" t="s">
        <v>117</v>
      </c>
      <c r="AQ1" s="21" t="s">
        <v>119</v>
      </c>
      <c r="AR1" s="21" t="s">
        <v>121</v>
      </c>
      <c r="AS1" s="21" t="s">
        <v>123</v>
      </c>
      <c r="AT1" s="21" t="s">
        <v>125</v>
      </c>
      <c r="AU1" s="21" t="s">
        <v>127</v>
      </c>
      <c r="AV1" s="21" t="s">
        <v>129</v>
      </c>
      <c r="AW1" s="21" t="s">
        <v>131</v>
      </c>
      <c r="AX1" s="21" t="s">
        <v>133</v>
      </c>
      <c r="AY1" s="21" t="s">
        <v>135</v>
      </c>
      <c r="AZ1" s="21" t="s">
        <v>137</v>
      </c>
      <c r="BA1" s="21" t="s">
        <v>139</v>
      </c>
      <c r="BB1" s="21" t="s">
        <v>141</v>
      </c>
    </row>
    <row r="2" spans="1:54" x14ac:dyDescent="0.2">
      <c r="A2" t="s">
        <v>176</v>
      </c>
      <c r="B2" s="20" t="s">
        <v>213</v>
      </c>
      <c r="C2" s="20">
        <v>0.14000000000000001</v>
      </c>
      <c r="D2" s="20">
        <v>0.255</v>
      </c>
      <c r="E2" s="20">
        <v>-0.1431</v>
      </c>
      <c r="F2" s="20">
        <v>-5.0000000000000001E-3</v>
      </c>
      <c r="G2" s="20">
        <v>0.10730000000000001</v>
      </c>
      <c r="H2" s="20">
        <v>0.20549999999999999</v>
      </c>
      <c r="I2" s="20">
        <v>0.29360000000000003</v>
      </c>
      <c r="J2" s="20">
        <v>0.44130000000000003</v>
      </c>
      <c r="K2" s="20">
        <v>0.55389999999999995</v>
      </c>
      <c r="L2" s="20">
        <v>0.6593</v>
      </c>
      <c r="M2" s="20">
        <v>0.76270000000000004</v>
      </c>
      <c r="N2" s="20">
        <v>0.86850000000000005</v>
      </c>
      <c r="O2" s="20">
        <v>0.97030000000000005</v>
      </c>
      <c r="P2" s="20">
        <v>1.0701000000000001</v>
      </c>
      <c r="Q2" s="20">
        <v>1.1707000000000001</v>
      </c>
      <c r="R2" s="20">
        <v>1.2575000000000001</v>
      </c>
      <c r="S2" s="20">
        <v>1.3427</v>
      </c>
      <c r="T2" s="20">
        <v>1.4209000000000001</v>
      </c>
      <c r="U2" s="20">
        <v>1.4866999999999999</v>
      </c>
      <c r="V2" s="20">
        <v>1.5385</v>
      </c>
      <c r="W2" s="20">
        <v>2</v>
      </c>
      <c r="X2" s="20">
        <v>3.032E-2</v>
      </c>
      <c r="Y2" s="20">
        <v>2.435E-2</v>
      </c>
      <c r="Z2" s="20">
        <v>1.9900000000000001E-2</v>
      </c>
      <c r="AA2" s="20">
        <v>1.8790000000000001E-2</v>
      </c>
      <c r="AB2" s="20">
        <v>1.8429999999999998E-2</v>
      </c>
      <c r="AC2" s="20">
        <v>1.7649999999999999E-2</v>
      </c>
      <c r="AD2" s="20">
        <v>1.7919999999999998E-2</v>
      </c>
      <c r="AE2" s="20">
        <v>1.84E-2</v>
      </c>
      <c r="AF2" s="20">
        <v>1.9290000000000002E-2</v>
      </c>
      <c r="AG2" s="20">
        <v>2.018E-2</v>
      </c>
      <c r="AH2" s="20">
        <v>2.147E-2</v>
      </c>
      <c r="AI2" s="20">
        <v>2.2919999999999999E-2</v>
      </c>
      <c r="AJ2" s="20">
        <v>2.4580000000000001E-2</v>
      </c>
      <c r="AK2" s="20">
        <v>2.6849999999999999E-2</v>
      </c>
      <c r="AL2" s="20">
        <v>2.9309999999999999E-2</v>
      </c>
      <c r="AM2" s="20">
        <v>3.2190000000000003E-2</v>
      </c>
      <c r="AN2" s="20">
        <v>3.567E-2</v>
      </c>
      <c r="AO2" s="20">
        <v>3.9809999999999998E-2</v>
      </c>
      <c r="AP2" s="20">
        <v>1.7520000000000001E-2</v>
      </c>
      <c r="AQ2" s="20" t="s">
        <v>214</v>
      </c>
      <c r="AR2" s="20">
        <v>0.21</v>
      </c>
      <c r="AS2" s="20">
        <v>0.3</v>
      </c>
      <c r="AT2" s="20">
        <v>0</v>
      </c>
      <c r="AU2" s="20">
        <v>0</v>
      </c>
      <c r="AV2" s="20">
        <v>0</v>
      </c>
      <c r="AW2" s="20" t="s">
        <v>215</v>
      </c>
      <c r="AX2" s="20">
        <v>0.1</v>
      </c>
      <c r="AY2" s="20">
        <v>0.3</v>
      </c>
      <c r="AZ2" s="20">
        <v>0</v>
      </c>
      <c r="BA2" s="20">
        <v>0</v>
      </c>
      <c r="BB2" s="20">
        <v>0</v>
      </c>
    </row>
    <row r="5" spans="1:54" x14ac:dyDescent="0.2">
      <c r="A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
  <sheetViews>
    <sheetView topLeftCell="Q1" zoomScale="129" zoomScaleNormal="129" workbookViewId="0">
      <selection activeCell="U10" sqref="U10"/>
    </sheetView>
  </sheetViews>
  <sheetFormatPr baseColWidth="10" defaultColWidth="8.83203125" defaultRowHeight="15" x14ac:dyDescent="0.2"/>
  <cols>
    <col min="1" max="1" width="18" customWidth="1"/>
    <col min="2" max="33" width="16" customWidth="1"/>
  </cols>
  <sheetData>
    <row r="1" spans="1:33" x14ac:dyDescent="0.2">
      <c r="A1" s="22" t="s">
        <v>103</v>
      </c>
      <c r="B1" s="22" t="s">
        <v>216</v>
      </c>
      <c r="C1" s="22" t="s">
        <v>217</v>
      </c>
      <c r="D1" s="22" t="s">
        <v>218</v>
      </c>
      <c r="E1" s="22" t="s">
        <v>219</v>
      </c>
      <c r="F1" s="22" t="s">
        <v>220</v>
      </c>
      <c r="G1" s="22" t="s">
        <v>221</v>
      </c>
      <c r="H1" s="22" t="s">
        <v>222</v>
      </c>
      <c r="I1" s="22" t="s">
        <v>223</v>
      </c>
      <c r="J1" s="22" t="s">
        <v>224</v>
      </c>
      <c r="K1" s="22" t="s">
        <v>225</v>
      </c>
      <c r="L1" s="22" t="s">
        <v>226</v>
      </c>
      <c r="M1" s="22" t="s">
        <v>227</v>
      </c>
      <c r="N1" s="22" t="s">
        <v>228</v>
      </c>
      <c r="O1" s="22" t="s">
        <v>229</v>
      </c>
      <c r="P1" s="22" t="s">
        <v>230</v>
      </c>
      <c r="Q1" s="22" t="s">
        <v>231</v>
      </c>
      <c r="R1" s="22" t="s">
        <v>232</v>
      </c>
      <c r="S1" s="22" t="s">
        <v>233</v>
      </c>
      <c r="T1" s="22" t="s">
        <v>264</v>
      </c>
      <c r="U1" s="22" t="s">
        <v>169</v>
      </c>
      <c r="V1" s="22" t="s">
        <v>171</v>
      </c>
      <c r="W1" s="22" t="s">
        <v>172</v>
      </c>
      <c r="X1" s="22" t="s">
        <v>173</v>
      </c>
      <c r="Y1" s="22" t="s">
        <v>174</v>
      </c>
      <c r="Z1" s="22" t="s">
        <v>265</v>
      </c>
      <c r="AA1" s="22" t="s">
        <v>266</v>
      </c>
      <c r="AB1" s="22" t="s">
        <v>267</v>
      </c>
      <c r="AC1" s="22" t="s">
        <v>268</v>
      </c>
      <c r="AD1" s="22" t="s">
        <v>269</v>
      </c>
      <c r="AE1" s="22" t="s">
        <v>270</v>
      </c>
      <c r="AF1" s="22" t="s">
        <v>271</v>
      </c>
      <c r="AG1" s="22" t="s">
        <v>273</v>
      </c>
    </row>
    <row r="2" spans="1:33" x14ac:dyDescent="0.2">
      <c r="A2" s="22" t="s">
        <v>176</v>
      </c>
      <c r="B2" s="22">
        <v>0</v>
      </c>
      <c r="C2" s="22">
        <v>0</v>
      </c>
      <c r="D2" s="22">
        <v>0</v>
      </c>
      <c r="E2" s="22">
        <v>0</v>
      </c>
      <c r="F2" s="22">
        <v>0</v>
      </c>
      <c r="G2" s="22">
        <v>0</v>
      </c>
      <c r="H2" s="22">
        <v>0</v>
      </c>
      <c r="I2" s="22">
        <v>8.8000000000000007</v>
      </c>
      <c r="J2" s="22">
        <v>0</v>
      </c>
      <c r="K2" s="22">
        <v>7.4</v>
      </c>
      <c r="L2" s="22" t="s">
        <v>233</v>
      </c>
      <c r="M2" s="22" t="s">
        <v>233</v>
      </c>
      <c r="N2" s="22" t="s">
        <v>233</v>
      </c>
      <c r="O2" s="22" t="s">
        <v>233</v>
      </c>
      <c r="P2" s="22" t="s">
        <v>233</v>
      </c>
      <c r="Q2" s="22" t="s">
        <v>233</v>
      </c>
      <c r="R2" t="s">
        <v>272</v>
      </c>
      <c r="S2" s="22">
        <v>37.5</v>
      </c>
      <c r="T2" s="22" t="s">
        <v>267</v>
      </c>
      <c r="U2" t="s">
        <v>272</v>
      </c>
      <c r="V2" s="22">
        <v>8.2021000000000004E-3</v>
      </c>
      <c r="W2" s="22">
        <v>8.2021000000000004E-3</v>
      </c>
      <c r="X2" s="22">
        <v>8.2021000000000004E-3</v>
      </c>
      <c r="Y2" s="22">
        <v>8.2021000000000004E-3</v>
      </c>
      <c r="Z2" s="22">
        <v>0.29299999999999998</v>
      </c>
      <c r="AA2" s="22">
        <v>0</v>
      </c>
      <c r="AB2" s="22">
        <v>5.5</v>
      </c>
      <c r="AC2" s="22">
        <v>4</v>
      </c>
      <c r="AD2" s="22">
        <v>0.3</v>
      </c>
      <c r="AE2" s="22">
        <v>0.35</v>
      </c>
      <c r="AF2" s="22">
        <v>0.01</v>
      </c>
      <c r="AG2" s="22">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
  <sheetViews>
    <sheetView topLeftCell="F1" zoomScale="164" zoomScaleNormal="100" workbookViewId="0">
      <selection activeCell="M2" sqref="M2"/>
    </sheetView>
  </sheetViews>
  <sheetFormatPr baseColWidth="10" defaultColWidth="8.83203125" defaultRowHeight="15" x14ac:dyDescent="0.2"/>
  <cols>
    <col min="1" max="1" width="10.83203125" customWidth="1"/>
    <col min="2" max="2" width="21.5" customWidth="1"/>
    <col min="4" max="4" width="10" customWidth="1"/>
    <col min="5" max="5" width="11.5" customWidth="1"/>
    <col min="7" max="7" width="11.5" customWidth="1"/>
    <col min="8" max="8" width="10.83203125" customWidth="1"/>
    <col min="9" max="9" width="10" customWidth="1"/>
    <col min="14" max="14" width="12.1640625" customWidth="1"/>
    <col min="15" max="15" width="12.5" customWidth="1"/>
    <col min="16" max="16" width="14.33203125" customWidth="1"/>
    <col min="17" max="17" width="12.6640625" customWidth="1"/>
  </cols>
  <sheetData>
    <row r="1" spans="1:18" x14ac:dyDescent="0.2">
      <c r="A1" s="23" t="s">
        <v>103</v>
      </c>
      <c r="B1" s="23" t="s">
        <v>144</v>
      </c>
      <c r="C1" s="23" t="s">
        <v>146</v>
      </c>
      <c r="D1" s="24" t="s">
        <v>148</v>
      </c>
      <c r="E1" s="24" t="s">
        <v>151</v>
      </c>
      <c r="F1" s="24" t="s">
        <v>154</v>
      </c>
      <c r="G1" s="24" t="s">
        <v>156</v>
      </c>
      <c r="H1" s="24" t="s">
        <v>158</v>
      </c>
      <c r="I1" s="25" t="s">
        <v>160</v>
      </c>
      <c r="J1" s="25" t="s">
        <v>163</v>
      </c>
      <c r="K1" s="25" t="s">
        <v>166</v>
      </c>
      <c r="L1" s="25" t="s">
        <v>234</v>
      </c>
      <c r="M1" s="26" t="s">
        <v>235</v>
      </c>
      <c r="N1" s="26" t="s">
        <v>236</v>
      </c>
      <c r="O1" s="26" t="s">
        <v>237</v>
      </c>
      <c r="P1" s="26" t="s">
        <v>238</v>
      </c>
      <c r="Q1" s="26" t="s">
        <v>239</v>
      </c>
      <c r="R1" s="26" t="s">
        <v>240</v>
      </c>
    </row>
    <row r="2" spans="1:18" x14ac:dyDescent="0.2">
      <c r="A2" t="s">
        <v>176</v>
      </c>
      <c r="B2" t="s">
        <v>241</v>
      </c>
      <c r="C2">
        <v>2</v>
      </c>
      <c r="D2">
        <v>0</v>
      </c>
      <c r="E2">
        <v>0</v>
      </c>
      <c r="F2">
        <v>0</v>
      </c>
      <c r="G2">
        <v>0</v>
      </c>
      <c r="H2">
        <v>0</v>
      </c>
      <c r="I2">
        <v>2.8576999999999999</v>
      </c>
      <c r="J2">
        <v>0.39</v>
      </c>
      <c r="K2">
        <v>0.7</v>
      </c>
      <c r="L2">
        <v>0.75</v>
      </c>
      <c r="M2">
        <v>275</v>
      </c>
      <c r="N2">
        <v>0.9</v>
      </c>
      <c r="O2">
        <v>0.9</v>
      </c>
      <c r="P2">
        <v>0.9</v>
      </c>
      <c r="Q2">
        <f>M2*N2*O2*P2</f>
        <v>200.47499999999999</v>
      </c>
      <c r="R2">
        <v>0.8</v>
      </c>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9"/>
  <sheetViews>
    <sheetView zoomScale="169" zoomScaleNormal="100" workbookViewId="0">
      <selection activeCell="A14" sqref="A14"/>
    </sheetView>
  </sheetViews>
  <sheetFormatPr baseColWidth="10" defaultColWidth="8.83203125" defaultRowHeight="15" x14ac:dyDescent="0.2"/>
  <cols>
    <col min="1" max="1" width="19.33203125" customWidth="1"/>
    <col min="2" max="2" width="26.1640625" customWidth="1"/>
    <col min="3" max="3" width="18.1640625" customWidth="1"/>
  </cols>
  <sheetData>
    <row r="1" spans="1:2" x14ac:dyDescent="0.2">
      <c r="A1" t="s">
        <v>144</v>
      </c>
      <c r="B1" t="s">
        <v>7</v>
      </c>
    </row>
    <row r="2" spans="1:2" x14ac:dyDescent="0.2">
      <c r="A2" t="s">
        <v>242</v>
      </c>
      <c r="B2" t="s">
        <v>243</v>
      </c>
    </row>
    <row r="3" spans="1:2" x14ac:dyDescent="0.2">
      <c r="A3" t="s">
        <v>241</v>
      </c>
      <c r="B3" t="s">
        <v>244</v>
      </c>
    </row>
    <row r="4" spans="1:2" x14ac:dyDescent="0.2">
      <c r="A4" t="s">
        <v>245</v>
      </c>
      <c r="B4" t="s">
        <v>246</v>
      </c>
    </row>
    <row r="5" spans="1:2" x14ac:dyDescent="0.2">
      <c r="A5" t="s">
        <v>247</v>
      </c>
      <c r="B5" t="s">
        <v>248</v>
      </c>
    </row>
    <row r="6" spans="1:2" x14ac:dyDescent="0.2">
      <c r="A6" t="s">
        <v>249</v>
      </c>
      <c r="B6" t="s">
        <v>250</v>
      </c>
    </row>
    <row r="7" spans="1:2" x14ac:dyDescent="0.2">
      <c r="A7" t="s">
        <v>251</v>
      </c>
      <c r="B7" t="s">
        <v>252</v>
      </c>
    </row>
    <row r="8" spans="1:2" x14ac:dyDescent="0.2">
      <c r="B8" s="27" t="s">
        <v>253</v>
      </c>
    </row>
    <row r="9" spans="1:2" x14ac:dyDescent="0.2">
      <c r="B9" t="s">
        <v>254</v>
      </c>
    </row>
    <row r="10" spans="1:2" x14ac:dyDescent="0.2">
      <c r="B10" s="27" t="s">
        <v>255</v>
      </c>
    </row>
    <row r="11" spans="1:2" x14ac:dyDescent="0.2">
      <c r="B11" t="s">
        <v>256</v>
      </c>
    </row>
    <row r="12" spans="1:2" x14ac:dyDescent="0.2">
      <c r="B12" s="27" t="s">
        <v>175</v>
      </c>
    </row>
    <row r="13" spans="1:2" x14ac:dyDescent="0.2">
      <c r="B13" t="s">
        <v>257</v>
      </c>
    </row>
    <row r="14" spans="1:2" x14ac:dyDescent="0.2">
      <c r="B14" t="s">
        <v>258</v>
      </c>
    </row>
    <row r="15" spans="1:2" x14ac:dyDescent="0.2">
      <c r="B15" t="s">
        <v>259</v>
      </c>
    </row>
    <row r="16" spans="1:2" x14ac:dyDescent="0.2">
      <c r="B16" t="s">
        <v>260</v>
      </c>
    </row>
    <row r="17" spans="2:2" x14ac:dyDescent="0.2">
      <c r="B17" t="s">
        <v>261</v>
      </c>
    </row>
    <row r="18" spans="2:2" x14ac:dyDescent="0.2">
      <c r="B18" t="s">
        <v>262</v>
      </c>
    </row>
    <row r="19" spans="2:2" x14ac:dyDescent="0.2">
      <c r="B19" t="s">
        <v>263</v>
      </c>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zoomScaleNormal="100" workbookViewId="0">
      <selection activeCell="U1" sqref="U1"/>
    </sheetView>
  </sheetViews>
  <sheetFormatPr baseColWidth="10" defaultColWidth="8.83203125" defaultRowHeight="1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Variable Reference</vt:lpstr>
      <vt:lpstr>Main_Input</vt:lpstr>
      <vt:lpstr>Airfoil_Data</vt:lpstr>
      <vt:lpstr>Component_Data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2023-12-05T19:03:00Z</dcterms:created>
  <dcterms:modified xsi:type="dcterms:W3CDTF">2026-10-05T18:19:42Z</dcterms:modified>
</cp:coreProperties>
</file>