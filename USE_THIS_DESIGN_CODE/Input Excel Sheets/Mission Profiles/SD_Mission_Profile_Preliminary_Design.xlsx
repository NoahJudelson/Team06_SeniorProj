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ABE242C5-8912-D24C-A7BF-3FB7E4248B4A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ThresholdMaxM" sheetId="16" r:id="rId3"/>
    <sheet name="JB_{V1}_150mph_1hr" sheetId="15" r:id="rId4"/>
    <sheet name="C172" sheetId="5" r:id="rId5"/>
    <sheet name="Electric C17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A14" i="16" l="1"/>
  <c r="A16" i="16" s="1"/>
  <c r="D13" i="16"/>
  <c r="A4" i="16"/>
  <c r="A6" i="16" s="1"/>
  <c r="A11" i="15"/>
  <c r="A13" i="15" s="1"/>
  <c r="D10" i="15"/>
  <c r="A3" i="15"/>
  <c r="A5" i="15" s="1"/>
  <c r="A4" i="13" l="1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<sst xmlns="http://schemas.openxmlformats.org/spreadsheetml/2006/main" count="244" uniqueCount="39">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</sst>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</cellXfs>
  <cellStyles count="2">
    <cellStyle name="Currency" xfId="1" builtinId="4"/>
    <cellStyle name="Normal" xfId="0" builtinId="0"/>
  </cellStyles>
  <dxfs count="8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84" dataDxfId="83" tableBorderDxfId="82">
  <autoFilter ref="A1:J200" xr:uid="{9C530343-8F22-3F4B-A21B-7146C98EA73F}"/>
  <tableColumns count="10">
    <tableColumn id="1" xr3:uid="{1DCE1C02-B81F-5A42-9F8D-CD4F2F5FA0E1}" name="Segment #" dataDxfId="81"/>
    <tableColumn id="2" xr3:uid="{5BC906B8-6517-EF46-B234-4259BF6806AC}" name="Segment Type" dataDxfId="80"/>
    <tableColumn id="3" xr3:uid="{2316AD57-00CB-1E49-8500-2FF3F364AA6A}" name="Input 1" dataDxfId="79"/>
    <tableColumn id="4" xr3:uid="{7B8395BD-D411-0042-9A31-EA5C362163AA}" name="Input 2" dataDxfId="78"/>
    <tableColumn id="5" xr3:uid="{33A57DAD-EC47-2849-978C-EB31BD2A52E2}" name="Input 3" dataDxfId="77"/>
    <tableColumn id="6" xr3:uid="{0A0C4CA9-5EB2-A241-9E5D-369C3DF8DD43}" name="Input 4" dataDxfId="76"/>
    <tableColumn id="7" xr3:uid="{F74535B0-48DE-764E-BF99-0B508A958BAF}" name="Input 5" dataDxfId="75"/>
    <tableColumn id="8" xr3:uid="{E9628660-11E2-3E40-A190-AD9EAF0C192F}" name="Input 6" dataDxfId="74"/>
    <tableColumn id="9" xr3:uid="{EEA218E2-389D-1747-84AD-258E65EE195D}" name="Input 7" dataDxfId="73"/>
    <tableColumn id="10" xr3:uid="{C68BB87A-98DA-5746-906B-34304D19B708}" name="Input 8" dataDxfId="7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71" dataDxfId="70" tableBorderDxfId="69">
  <autoFilter ref="A1:J200" xr:uid="{9C530343-8F22-3F4B-A21B-7146C98EA73F}"/>
  <tableColumns count="10">
    <tableColumn id="1" xr3:uid="{980F29A0-8623-A445-9E6C-7FC765BBF570}" name="Segment #" dataDxfId="68"/>
    <tableColumn id="2" xr3:uid="{8C5B23FC-4EB0-C941-8D07-22087992AA8F}" name="Segment Type" dataDxfId="67"/>
    <tableColumn id="3" xr3:uid="{5798A81B-FB96-BA4C-9E78-BBAEC3A545AF}" name="Input 1" dataDxfId="66"/>
    <tableColumn id="4" xr3:uid="{9EFC7076-6124-A94A-B30B-0AE379C26A23}" name="Input 2" dataDxfId="65"/>
    <tableColumn id="5" xr3:uid="{615CB506-39EE-2345-95B7-5026BD89AA8D}" name="Input 3" dataDxfId="64"/>
    <tableColumn id="6" xr3:uid="{F9EADA15-ECF7-A948-9CA1-32EB31E1A787}" name="Input 4" dataDxfId="63"/>
    <tableColumn id="7" xr3:uid="{601B4314-7656-604A-B4A0-DDDDA1A6E0DF}" name="Input 5" dataDxfId="62"/>
    <tableColumn id="8" xr3:uid="{F74CB3CC-5A53-BB47-A795-2FD7F77CA88C}" name="Input 6" dataDxfId="61"/>
    <tableColumn id="9" xr3:uid="{4DE5B69B-C9D7-E84B-ACE2-A013B4F9F8C8}" name="Input 7" dataDxfId="60"/>
    <tableColumn id="10" xr3:uid="{9E1DAD46-FA54-9F47-A684-D3188111C975}" name="Input 8" dataDxfId="5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8" dataDxfId="57" tableBorderDxfId="56">
  <autoFilter ref="A1:J200" xr:uid="{E9D8E600-FE9F-5C45-8634-0D6DD0E667E3}"/>
  <tableColumns count="10">
    <tableColumn id="1" xr3:uid="{D23BA427-6FDC-6C46-AADC-76777DF0599D}" name="Segment #" dataDxfId="55"/>
    <tableColumn id="2" xr3:uid="{AF07C20E-012B-4A4D-9685-4B5C108A0C48}" name="Segment Type" dataDxfId="54"/>
    <tableColumn id="3" xr3:uid="{4435643B-BB1E-B147-82C8-67CCC931376A}" name="Input 1" dataDxfId="53"/>
    <tableColumn id="4" xr3:uid="{0B4DDA9A-2037-CD43-BDB5-1B7EC266CFA6}" name="Input 2" dataDxfId="52"/>
    <tableColumn id="5" xr3:uid="{86FFB808-2BA0-844B-8C45-E32051CFF226}" name="Input 3" dataDxfId="51"/>
    <tableColumn id="6" xr3:uid="{F128F1FB-77A9-344F-BFE0-756AD971F3AA}" name="Input 4" dataDxfId="50"/>
    <tableColumn id="7" xr3:uid="{FC13F1AE-660A-024C-9FD6-B2953ADD8A85}" name="Input 5" dataDxfId="49"/>
    <tableColumn id="8" xr3:uid="{3E1346B8-FB5C-6842-91DE-8C95912BEF7C}" name="Input 6" dataDxfId="48"/>
    <tableColumn id="9" xr3:uid="{C19B4E6F-21EC-B346-A54F-D52512B94A8A}" name="Input 7" dataDxfId="47"/>
    <tableColumn id="10" xr3:uid="{6524E215-8B7D-1E43-A2C0-2C1B780A18A9}" name="Input 8" dataDxfId="46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5" dataDxfId="44" tableBorderDxfId="43">
  <autoFilter ref="A1:J200" xr:uid="{E9D8E600-FE9F-5C45-8634-0D6DD0E667E3}"/>
  <tableColumns count="10">
    <tableColumn id="1" xr3:uid="{15EB4EF6-08A8-964E-ABD5-0CF3EEC0C7B7}" name="Segment #" dataDxfId="42"/>
    <tableColumn id="2" xr3:uid="{10C18371-46B8-6544-9972-D21BFA1DB0CD}" name="Segment Type" dataDxfId="41"/>
    <tableColumn id="3" xr3:uid="{526667C5-306E-7D43-B338-699328AA6680}" name="Input 1" dataDxfId="40"/>
    <tableColumn id="4" xr3:uid="{285F1D9C-6790-F049-8810-78F8A349CEA8}" name="Input 2" dataDxfId="39"/>
    <tableColumn id="5" xr3:uid="{414CB0C1-F49D-4248-9E2F-428FEB38D5DA}" name="Input 3" dataDxfId="38"/>
    <tableColumn id="6" xr3:uid="{7993028E-EBAF-D840-BAB7-8BA72340BA98}" name="Input 4" dataDxfId="37"/>
    <tableColumn id="7" xr3:uid="{6617A981-14C9-8C42-A72A-0EB397E2F530}" name="Input 5" dataDxfId="36"/>
    <tableColumn id="8" xr3:uid="{7AE9ECDF-5690-DE42-BC09-5934349F52E2}" name="Input 6" dataDxfId="35"/>
    <tableColumn id="9" xr3:uid="{D1E2BD85-064E-C746-9E9E-6DA887B3E2CA}" name="Input 7" dataDxfId="34"/>
    <tableColumn id="10" xr3:uid="{F7213638-D701-E04E-A444-9564EC9CA3EE}" name="Input 8" dataDxfId="3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5"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2" priority="1">
      <formula>MOD(ROW(),2)=0</formula>
    </cfRule>
  </conditionalFormatting>
  <conditionalFormatting sqref="B1:F12 F13:F20 B15:E20 A21:F21 B22:F23">
    <cfRule type="expression" dxfId="3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I16" sqref="I16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15000</v>
      </c>
      <c r="D11" s="3">
        <v>59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 E12:E13">
    <cfRule type="expression" dxfId="30" priority="7">
      <formula>MOD(ROW(),2)=0</formula>
    </cfRule>
  </conditionalFormatting>
  <conditionalFormatting sqref="B1 D1:J1">
    <cfRule type="expression" dxfId="29" priority="8">
      <formula>MOD(ROW(),2)=0</formula>
    </cfRule>
  </conditionalFormatting>
  <conditionalFormatting sqref="B12:D13">
    <cfRule type="expression" dxfId="28" priority="4">
      <formula>MOD(ROW(),2)=0</formula>
    </cfRule>
  </conditionalFormatting>
  <conditionalFormatting sqref="E14:E15">
    <cfRule type="expression" dxfId="27" priority="3">
      <formula>MOD(ROW(),2)=0</formula>
    </cfRule>
  </conditionalFormatting>
  <conditionalFormatting sqref="E20:J21 A22:J200">
    <cfRule type="expression" dxfId="26" priority="9">
      <formula>MOD(ROW(),2)=0</formula>
    </cfRule>
  </conditionalFormatting>
  <conditionalFormatting sqref="G4:G7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G19" sqref="G19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24" priority="4">
      <formula>MOD(ROW(),2)=0</formula>
    </cfRule>
  </conditionalFormatting>
  <conditionalFormatting sqref="B1 D1:J1">
    <cfRule type="expression" dxfId="23" priority="5">
      <formula>MOD(ROW(),2)=0</formula>
    </cfRule>
  </conditionalFormatting>
  <conditionalFormatting sqref="B12:D13">
    <cfRule type="expression" dxfId="22" priority="2">
      <formula>MOD(ROW(),2)=0</formula>
    </cfRule>
  </conditionalFormatting>
  <conditionalFormatting sqref="E12:E15">
    <cfRule type="expression" dxfId="21" priority="1">
      <formula>MOD(ROW(),2)=0</formula>
    </cfRule>
  </conditionalFormatting>
  <conditionalFormatting sqref="E20:J21 A22:J200">
    <cfRule type="expression" dxfId="20" priority="6">
      <formula>MOD(ROW(),2)=0</formula>
    </cfRule>
  </conditionalFormatting>
  <conditionalFormatting sqref="G4:G7">
    <cfRule type="expression" dxfId="19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C8" sqref="C8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3">
        <v>8000</v>
      </c>
      <c r="D2" s="3">
        <v>2</v>
      </c>
      <c r="E2" s="3">
        <v>0.05</v>
      </c>
      <c r="F2" s="3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3">
        <v>15000</v>
      </c>
      <c r="D8" s="3">
        <v>100</v>
      </c>
      <c r="E8" s="3">
        <v>0.2</v>
      </c>
      <c r="F8" s="3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14">
        <v>13000</v>
      </c>
      <c r="D10" s="13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A1 F9:G14">
    <cfRule type="expression" dxfId="18" priority="6">
      <formula>MOD(ROW(),2)=0</formula>
    </cfRule>
  </conditionalFormatting>
  <conditionalFormatting sqref="B9:D10">
    <cfRule type="expression" dxfId="17" priority="4">
      <formula>MOD(ROW(),2)=0</formula>
    </cfRule>
  </conditionalFormatting>
  <conditionalFormatting sqref="B1:G8">
    <cfRule type="expression" dxfId="16" priority="5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H1:J197 A15:E189 F15:F191 G15:G193">
    <cfRule type="expression" dxfId="14" priority="1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JB_{V1}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2026-09-28T05:11:10Z</dcterms:modified>
</cp:coreProperties>
</file>