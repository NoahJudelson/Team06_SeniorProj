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Mission Profiles/"/>
    </mc:Choice>
  </mc:AlternateContent>
  <xr:revisionPtr revIDLastSave="0" documentId="13_ncr:1_{06A2C526-07D4-6A48-9D3C-37B6051B8C4D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{V1}" sheetId="13" r:id="rId2"/>
    <sheet name="JB_{V1}_150mph_1hr" sheetId="15" r:id="rId3"/>
    <sheet name="C172" sheetId="5" r:id="rId4"/>
    <sheet name="Electric C172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5" l="1"/>
  <c r="A13" i="15" s="1"/>
  <c r="D10" i="15"/>
  <c r="A3" i="15"/>
  <c r="A5" i="15" s="1"/>
  <c r="D13" i="13" l="1"/>
  <c r="A4" i="13"/>
  <c r="A6" i="13" s="1"/>
  <c r="A14" i="13" l="1"/>
  <c r="A16" i="13" s="1"/>
  <c r="D13" i="6"/>
  <c r="D15" i="5"/>
</calcChain>
</file>

<file path=xl/sharedStrings.xml><?xml version="1.0" encoding="utf-8"?>
<sst xmlns="http://schemas.openxmlformats.org/spreadsheetml/2006/main" count="199" uniqueCount="39">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</sst>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2" borderId="1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1" fillId="2" borderId="4" xfId="0" applyFont="1" applyFill="1" applyBorder="1"/>
    <xf numFmtId="0" fontId="2" fillId="2" borderId="5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</cellXfs>
  <cellStyles count="2">
    <cellStyle name="Currency" xfId="1" builtinId="4"/>
    <cellStyle name="Normal" xfId="0" builtinId="0"/>
  </cellStyles>
  <dxfs count="68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0" totalsRowShown="0" headerRowDxfId="67" dataDxfId="66" tableBorderDxfId="65">
  <autoFilter ref="A1:J200" xr:uid="{9C530343-8F22-3F4B-A21B-7146C98EA73F}"/>
  <tableColumns count="10">
    <tableColumn id="1" xr3:uid="{1DCE1C02-B81F-5A42-9F8D-CD4F2F5FA0E1}" name="Segment #" dataDxfId="64"/>
    <tableColumn id="2" xr3:uid="{5BC906B8-6517-EF46-B234-4259BF6806AC}" name="Segment Type" dataDxfId="63"/>
    <tableColumn id="3" xr3:uid="{2316AD57-00CB-1E49-8500-2FF3F364AA6A}" name="Input 1" dataDxfId="62"/>
    <tableColumn id="4" xr3:uid="{7B8395BD-D411-0042-9A31-EA5C362163AA}" name="Input 2" dataDxfId="61"/>
    <tableColumn id="5" xr3:uid="{33A57DAD-EC47-2849-978C-EB31BD2A52E2}" name="Input 3" dataDxfId="60"/>
    <tableColumn id="6" xr3:uid="{0A0C4CA9-5EB2-A241-9E5D-369C3DF8DD43}" name="Input 4" dataDxfId="59"/>
    <tableColumn id="7" xr3:uid="{F74535B0-48DE-764E-BF99-0B508A958BAF}" name="Input 5" dataDxfId="58"/>
    <tableColumn id="8" xr3:uid="{E9628660-11E2-3E40-A190-AD9EAF0C192F}" name="Input 6" dataDxfId="57"/>
    <tableColumn id="9" xr3:uid="{EEA218E2-389D-1747-84AD-258E65EE195D}" name="Input 7" dataDxfId="56"/>
    <tableColumn id="10" xr3:uid="{C68BB87A-98DA-5746-906B-34304D19B708}" name="Input 8" dataDxfId="55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54" dataDxfId="53" tableBorderDxfId="52">
  <autoFilter ref="A1:J200" xr:uid="{E9D8E600-FE9F-5C45-8634-0D6DD0E667E3}"/>
  <tableColumns count="10">
    <tableColumn id="1" xr3:uid="{D23BA427-6FDC-6C46-AADC-76777DF0599D}" name="Segment #" dataDxfId="51"/>
    <tableColumn id="2" xr3:uid="{AF07C20E-012B-4A4D-9685-4B5C108A0C48}" name="Segment Type" dataDxfId="50"/>
    <tableColumn id="3" xr3:uid="{4435643B-BB1E-B147-82C8-67CCC931376A}" name="Input 1" dataDxfId="49"/>
    <tableColumn id="4" xr3:uid="{0B4DDA9A-2037-CD43-BDB5-1B7EC266CFA6}" name="Input 2" dataDxfId="48"/>
    <tableColumn id="5" xr3:uid="{86FFB808-2BA0-844B-8C45-E32051CFF226}" name="Input 3" dataDxfId="47"/>
    <tableColumn id="6" xr3:uid="{F128F1FB-77A9-344F-BFE0-756AD971F3AA}" name="Input 4" dataDxfId="46"/>
    <tableColumn id="7" xr3:uid="{FC13F1AE-660A-024C-9FD6-B2953ADD8A85}" name="Input 5" dataDxfId="45"/>
    <tableColumn id="8" xr3:uid="{3E1346B8-FB5C-6842-91DE-8C95912BEF7C}" name="Input 6" dataDxfId="44"/>
    <tableColumn id="9" xr3:uid="{C19B4E6F-21EC-B346-A54F-D52512B94A8A}" name="Input 7" dataDxfId="43"/>
    <tableColumn id="10" xr3:uid="{6524E215-8B7D-1E43-A2C0-2C1B780A18A9}" name="Input 8" dataDxfId="42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41" dataDxfId="40" tableBorderDxfId="39">
  <autoFilter ref="A1:J200" xr:uid="{E9D8E600-FE9F-5C45-8634-0D6DD0E667E3}"/>
  <tableColumns count="10">
    <tableColumn id="1" xr3:uid="{15EB4EF6-08A8-964E-ABD5-0CF3EEC0C7B7}" name="Segment #" dataDxfId="38"/>
    <tableColumn id="2" xr3:uid="{10C18371-46B8-6544-9972-D21BFA1DB0CD}" name="Segment Type" dataDxfId="37"/>
    <tableColumn id="3" xr3:uid="{526667C5-306E-7D43-B338-699328AA6680}" name="Input 1" dataDxfId="36"/>
    <tableColumn id="4" xr3:uid="{285F1D9C-6790-F049-8810-78F8A349CEA8}" name="Input 2" dataDxfId="35"/>
    <tableColumn id="5" xr3:uid="{414CB0C1-F49D-4248-9E2F-428FEB38D5DA}" name="Input 3" dataDxfId="34"/>
    <tableColumn id="6" xr3:uid="{7993028E-EBAF-D840-BAB7-8BA72340BA98}" name="Input 4" dataDxfId="33"/>
    <tableColumn id="7" xr3:uid="{6617A981-14C9-8C42-A72A-0EB397E2F530}" name="Input 5" dataDxfId="32"/>
    <tableColumn id="8" xr3:uid="{7AE9ECDF-5690-DE42-BC09-5934349F52E2}" name="Input 6" dataDxfId="31"/>
    <tableColumn id="9" xr3:uid="{D1E2BD85-064E-C746-9E9E-6DA887B3E2CA}" name="Input 7" dataDxfId="30"/>
    <tableColumn id="10" xr3:uid="{F7213638-D701-E04E-A444-9564EC9CA3EE}" name="Input 8" dataDxfId="29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28" priority="1">
      <formula>MOD(ROW(),2)=0</formula>
    </cfRule>
  </conditionalFormatting>
  <conditionalFormatting sqref="B1:F12 F13:F20 B15:E20 A21:F21 B22:F23">
    <cfRule type="expression" dxfId="27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0"/>
  <sheetViews>
    <sheetView tabSelected="1" workbookViewId="0">
      <selection activeCell="G12" sqref="G12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2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4.7300000000000002E-2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0.2</v>
      </c>
      <c r="G7" s="3">
        <v>0</v>
      </c>
      <c r="H7" s="3"/>
      <c r="I7" s="3"/>
      <c r="J7" s="9"/>
    </row>
    <row r="8" spans="1:10" ht="18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8" x14ac:dyDescent="0.25">
      <c r="A9" s="8"/>
      <c r="B9" s="3"/>
      <c r="C9" s="3">
        <v>15000</v>
      </c>
      <c r="D9" s="3">
        <v>22</v>
      </c>
      <c r="E9" s="3">
        <v>0.2</v>
      </c>
      <c r="F9" s="3">
        <v>0</v>
      </c>
      <c r="G9" s="3"/>
      <c r="H9" s="3"/>
      <c r="I9" s="3"/>
      <c r="J9" s="9"/>
    </row>
    <row r="10" spans="1:10" ht="18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3">
        <v>13000</v>
      </c>
      <c r="D11" s="3">
        <v>75</v>
      </c>
      <c r="E11" s="3">
        <v>0.1</v>
      </c>
      <c r="F11" s="3">
        <v>0</v>
      </c>
      <c r="G11" s="3"/>
      <c r="H11" s="3"/>
      <c r="I11" s="3"/>
      <c r="J11" s="9"/>
    </row>
    <row r="12" spans="1:10" ht="18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13000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8" x14ac:dyDescent="0.25">
      <c r="A14" s="8">
        <f>A12+1</f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f>A14+1</f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H4:J7 F12:J19 B2:E7 F4:F7 B8:J11">
    <cfRule type="expression" dxfId="26" priority="7">
      <formula>MOD(ROW(),2)=0</formula>
    </cfRule>
  </conditionalFormatting>
  <conditionalFormatting sqref="B1 D1:J1">
    <cfRule type="expression" dxfId="25" priority="8">
      <formula>MOD(ROW(),2)=0</formula>
    </cfRule>
  </conditionalFormatting>
  <conditionalFormatting sqref="B12:D13">
    <cfRule type="expression" dxfId="24" priority="4">
      <formula>MOD(ROW(),2)=0</formula>
    </cfRule>
  </conditionalFormatting>
  <conditionalFormatting sqref="E12:E15">
    <cfRule type="expression" dxfId="23" priority="3">
      <formula>MOD(ROW(),2)=0</formula>
    </cfRule>
  </conditionalFormatting>
  <conditionalFormatting sqref="E20:J21 A22:J200">
    <cfRule type="expression" dxfId="22" priority="9">
      <formula>MOD(ROW(),2)=0</formula>
    </cfRule>
  </conditionalFormatting>
  <conditionalFormatting sqref="G4:G7">
    <cfRule type="expression" dxfId="21" priority="6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585E-75AB-684A-AA88-D151314EB3D5}">
  <dimension ref="A1:J197"/>
  <sheetViews>
    <sheetView workbookViewId="0">
      <selection activeCell="D8" sqref="D8"/>
    </sheetView>
  </sheetViews>
  <sheetFormatPr baseColWidth="10" defaultRowHeight="16" x14ac:dyDescent="0.2"/>
  <sheetData>
    <row r="1" spans="1:10" ht="18" x14ac:dyDescent="0.25">
      <c r="A1" s="25">
        <v>1</v>
      </c>
      <c r="B1" s="18" t="s">
        <v>0</v>
      </c>
      <c r="C1" s="18" t="s">
        <v>1</v>
      </c>
      <c r="D1" s="18" t="s">
        <v>2</v>
      </c>
      <c r="E1" s="18" t="s">
        <v>3</v>
      </c>
      <c r="F1" s="26" t="s">
        <v>31</v>
      </c>
      <c r="G1" s="26"/>
      <c r="H1" s="26"/>
      <c r="I1" s="26"/>
      <c r="J1" s="27"/>
    </row>
    <row r="2" spans="1:10" ht="18" x14ac:dyDescent="0.25">
      <c r="A2" s="8"/>
      <c r="B2" s="3"/>
      <c r="C2" s="3">
        <v>8000</v>
      </c>
      <c r="D2" s="3">
        <v>2</v>
      </c>
      <c r="E2" s="3">
        <v>0.05</v>
      </c>
      <c r="F2" s="3">
        <v>1.5E-3</v>
      </c>
      <c r="G2" s="3"/>
      <c r="H2" s="3"/>
      <c r="I2" s="3"/>
      <c r="J2" s="9"/>
    </row>
    <row r="3" spans="1:10" ht="18" x14ac:dyDescent="0.25">
      <c r="A3" s="28">
        <f>A1+1</f>
        <v>2</v>
      </c>
      <c r="B3" s="18" t="s">
        <v>4</v>
      </c>
      <c r="C3" s="18" t="s">
        <v>8</v>
      </c>
      <c r="D3" s="18" t="s">
        <v>9</v>
      </c>
      <c r="E3" s="18" t="s">
        <v>6</v>
      </c>
      <c r="F3" s="18" t="s">
        <v>7</v>
      </c>
      <c r="G3" s="18" t="s">
        <v>32</v>
      </c>
      <c r="H3" s="18"/>
      <c r="I3" s="18"/>
      <c r="J3" s="29"/>
    </row>
    <row r="4" spans="1:10" ht="18" x14ac:dyDescent="0.25">
      <c r="A4" s="8"/>
      <c r="B4" s="3"/>
      <c r="C4" s="3">
        <v>8000</v>
      </c>
      <c r="D4" s="3">
        <v>13000</v>
      </c>
      <c r="E4" s="3">
        <v>4.7300000000000002E-2</v>
      </c>
      <c r="F4" s="3">
        <v>0.1</v>
      </c>
      <c r="G4" s="3">
        <v>0</v>
      </c>
      <c r="H4" s="3"/>
      <c r="I4" s="3"/>
      <c r="J4" s="9"/>
    </row>
    <row r="5" spans="1:10" ht="18" x14ac:dyDescent="0.25">
      <c r="A5" s="28">
        <f>A3+1</f>
        <v>3</v>
      </c>
      <c r="B5" s="18" t="s">
        <v>4</v>
      </c>
      <c r="C5" s="18" t="s">
        <v>8</v>
      </c>
      <c r="D5" s="18" t="s">
        <v>9</v>
      </c>
      <c r="E5" s="18" t="s">
        <v>6</v>
      </c>
      <c r="F5" s="18" t="s">
        <v>7</v>
      </c>
      <c r="G5" s="18" t="s">
        <v>32</v>
      </c>
      <c r="H5" s="18"/>
      <c r="I5" s="18"/>
      <c r="J5" s="29"/>
    </row>
    <row r="6" spans="1:10" ht="18" x14ac:dyDescent="0.25">
      <c r="A6" s="8"/>
      <c r="B6" s="3"/>
      <c r="C6" s="3">
        <v>13000</v>
      </c>
      <c r="D6" s="3">
        <v>15000</v>
      </c>
      <c r="E6" s="3">
        <v>0.1</v>
      </c>
      <c r="F6" s="3">
        <v>0.2</v>
      </c>
      <c r="G6" s="3">
        <v>0</v>
      </c>
      <c r="H6" s="3"/>
      <c r="I6" s="3"/>
      <c r="J6" s="9"/>
    </row>
    <row r="7" spans="1:10" ht="18" x14ac:dyDescent="0.25">
      <c r="A7" s="28">
        <v>6</v>
      </c>
      <c r="B7" s="18" t="s">
        <v>10</v>
      </c>
      <c r="C7" s="18" t="s">
        <v>5</v>
      </c>
      <c r="D7" s="18" t="s">
        <v>17</v>
      </c>
      <c r="E7" s="18" t="s">
        <v>11</v>
      </c>
      <c r="F7" s="18" t="s">
        <v>33</v>
      </c>
      <c r="G7" s="18"/>
      <c r="H7" s="18"/>
      <c r="I7" s="18"/>
      <c r="J7" s="29"/>
    </row>
    <row r="8" spans="1:10" ht="18" x14ac:dyDescent="0.25">
      <c r="A8" s="8"/>
      <c r="B8" s="3"/>
      <c r="C8" s="3">
        <v>15000</v>
      </c>
      <c r="D8" s="3">
        <v>100</v>
      </c>
      <c r="E8" s="3">
        <v>0.2</v>
      </c>
      <c r="F8" s="3">
        <v>0</v>
      </c>
      <c r="G8" s="3"/>
      <c r="H8" s="3"/>
      <c r="I8" s="3"/>
      <c r="J8" s="9"/>
    </row>
    <row r="9" spans="1:10" ht="18" x14ac:dyDescent="0.25">
      <c r="A9" s="28">
        <v>7</v>
      </c>
      <c r="B9" s="18" t="s">
        <v>12</v>
      </c>
      <c r="C9" s="18" t="s">
        <v>5</v>
      </c>
      <c r="D9" s="18" t="s">
        <v>13</v>
      </c>
      <c r="E9" s="18" t="s">
        <v>34</v>
      </c>
      <c r="F9" s="18"/>
      <c r="G9" s="18"/>
      <c r="H9" s="18"/>
      <c r="I9" s="18"/>
      <c r="J9" s="29"/>
    </row>
    <row r="10" spans="1:10" ht="18" x14ac:dyDescent="0.25">
      <c r="A10" s="8"/>
      <c r="B10" s="3"/>
      <c r="C10" s="14">
        <v>13000</v>
      </c>
      <c r="D10" s="13">
        <f>10/60</f>
        <v>0.16666666666666666</v>
      </c>
      <c r="E10" s="3">
        <v>0</v>
      </c>
      <c r="F10" s="3"/>
      <c r="G10" s="3"/>
      <c r="H10" s="3"/>
      <c r="I10" s="3"/>
      <c r="J10" s="9"/>
    </row>
    <row r="11" spans="1:10" ht="18" x14ac:dyDescent="0.25">
      <c r="A11" s="28">
        <f>A9+1</f>
        <v>8</v>
      </c>
      <c r="B11" s="23" t="s">
        <v>26</v>
      </c>
      <c r="C11" s="23" t="s">
        <v>35</v>
      </c>
      <c r="D11" s="18"/>
      <c r="E11" s="18"/>
      <c r="F11" s="23"/>
      <c r="G11" s="18"/>
      <c r="H11" s="18"/>
      <c r="I11" s="18"/>
      <c r="J11" s="29"/>
    </row>
    <row r="12" spans="1:10" ht="18" x14ac:dyDescent="0.25">
      <c r="A12" s="8"/>
      <c r="B12" s="3"/>
      <c r="C12" s="3">
        <v>0.01</v>
      </c>
      <c r="D12" s="3"/>
      <c r="E12" s="3"/>
      <c r="F12" s="3"/>
      <c r="G12" s="3"/>
      <c r="H12" s="3"/>
      <c r="I12" s="3"/>
      <c r="J12" s="9"/>
    </row>
    <row r="13" spans="1:10" ht="18" x14ac:dyDescent="0.25">
      <c r="A13" s="28">
        <f>A11+1</f>
        <v>9</v>
      </c>
      <c r="B13" s="23" t="s">
        <v>27</v>
      </c>
      <c r="C13" s="23" t="s">
        <v>35</v>
      </c>
      <c r="D13" s="18"/>
      <c r="E13" s="18"/>
      <c r="F13" s="18"/>
      <c r="G13" s="18"/>
      <c r="H13" s="18"/>
      <c r="I13" s="18"/>
      <c r="J13" s="29"/>
    </row>
    <row r="14" spans="1:10" ht="18" x14ac:dyDescent="0.25">
      <c r="A14" s="8"/>
      <c r="B14" s="3"/>
      <c r="C14" s="3">
        <v>1E-4</v>
      </c>
      <c r="D14" s="3"/>
      <c r="E14" s="3"/>
      <c r="F14" s="3"/>
      <c r="G14" s="3"/>
      <c r="H14" s="3"/>
      <c r="I14" s="3"/>
      <c r="J14" s="9"/>
    </row>
    <row r="15" spans="1:10" ht="18" x14ac:dyDescent="0.25">
      <c r="A15" s="30"/>
      <c r="B15" s="18"/>
      <c r="C15" s="18"/>
      <c r="D15" s="18"/>
      <c r="E15" s="18"/>
      <c r="F15" s="18"/>
      <c r="G15" s="18"/>
      <c r="H15" s="18"/>
      <c r="I15" s="18"/>
      <c r="J15" s="29"/>
    </row>
    <row r="16" spans="1:10" ht="18" x14ac:dyDescent="0.25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 ht="18" x14ac:dyDescent="0.25">
      <c r="A17" s="30"/>
      <c r="B17" s="18"/>
      <c r="C17" s="18"/>
      <c r="D17" s="18"/>
      <c r="E17" s="18"/>
      <c r="F17" s="18"/>
      <c r="G17" s="18"/>
      <c r="H17" s="18"/>
      <c r="I17" s="18"/>
      <c r="J17" s="29"/>
    </row>
    <row r="18" spans="1:10" ht="18" x14ac:dyDescent="0.25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 ht="18" x14ac:dyDescent="0.25">
      <c r="A19" s="30"/>
      <c r="B19" s="18"/>
      <c r="C19" s="18"/>
      <c r="D19" s="18"/>
      <c r="E19" s="18"/>
      <c r="F19" s="18"/>
      <c r="G19" s="18"/>
      <c r="H19" s="18"/>
      <c r="I19" s="18"/>
      <c r="J19" s="29"/>
    </row>
    <row r="20" spans="1:10" ht="18" x14ac:dyDescent="0.25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30"/>
      <c r="B21" s="18"/>
      <c r="C21" s="18"/>
      <c r="D21" s="18"/>
      <c r="E21" s="18"/>
      <c r="F21" s="18"/>
      <c r="G21" s="18"/>
      <c r="H21" s="18"/>
      <c r="I21" s="18"/>
      <c r="J21" s="2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30"/>
      <c r="B23" s="18"/>
      <c r="C23" s="18"/>
      <c r="D23" s="18"/>
      <c r="E23" s="18"/>
      <c r="F23" s="18"/>
      <c r="G23" s="18"/>
      <c r="H23" s="18"/>
      <c r="I23" s="18"/>
      <c r="J23" s="2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30"/>
      <c r="B25" s="18"/>
      <c r="C25" s="18"/>
      <c r="D25" s="18"/>
      <c r="E25" s="18"/>
      <c r="F25" s="18"/>
      <c r="G25" s="18"/>
      <c r="H25" s="18"/>
      <c r="I25" s="18"/>
      <c r="J25" s="2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30"/>
      <c r="B27" s="18"/>
      <c r="C27" s="18"/>
      <c r="D27" s="18"/>
      <c r="E27" s="18"/>
      <c r="F27" s="18"/>
      <c r="G27" s="18"/>
      <c r="H27" s="18"/>
      <c r="I27" s="18"/>
      <c r="J27" s="2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30"/>
      <c r="B29" s="18"/>
      <c r="C29" s="18"/>
      <c r="D29" s="18"/>
      <c r="E29" s="18"/>
      <c r="F29" s="18"/>
      <c r="G29" s="18"/>
      <c r="H29" s="18"/>
      <c r="I29" s="18"/>
      <c r="J29" s="2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30"/>
      <c r="B31" s="18"/>
      <c r="C31" s="18"/>
      <c r="D31" s="18"/>
      <c r="E31" s="18"/>
      <c r="F31" s="18"/>
      <c r="G31" s="18"/>
      <c r="H31" s="18"/>
      <c r="I31" s="18"/>
      <c r="J31" s="2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30"/>
      <c r="B33" s="18"/>
      <c r="C33" s="18"/>
      <c r="D33" s="18"/>
      <c r="E33" s="18"/>
      <c r="F33" s="18"/>
      <c r="G33" s="18"/>
      <c r="H33" s="18"/>
      <c r="I33" s="18"/>
      <c r="J33" s="2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30"/>
      <c r="B35" s="18"/>
      <c r="C35" s="18"/>
      <c r="D35" s="18"/>
      <c r="E35" s="18"/>
      <c r="F35" s="18"/>
      <c r="G35" s="18"/>
      <c r="H35" s="18"/>
      <c r="I35" s="18"/>
      <c r="J35" s="2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30"/>
      <c r="B37" s="18"/>
      <c r="C37" s="18"/>
      <c r="D37" s="18"/>
      <c r="E37" s="18"/>
      <c r="F37" s="18"/>
      <c r="G37" s="18"/>
      <c r="H37" s="18"/>
      <c r="I37" s="18"/>
      <c r="J37" s="2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30"/>
      <c r="B39" s="18"/>
      <c r="C39" s="18"/>
      <c r="D39" s="18"/>
      <c r="E39" s="18"/>
      <c r="F39" s="18"/>
      <c r="G39" s="18"/>
      <c r="H39" s="18"/>
      <c r="I39" s="18"/>
      <c r="J39" s="2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30"/>
      <c r="B41" s="18"/>
      <c r="C41" s="18"/>
      <c r="D41" s="18"/>
      <c r="E41" s="18"/>
      <c r="F41" s="18"/>
      <c r="G41" s="18"/>
      <c r="H41" s="18"/>
      <c r="I41" s="18"/>
      <c r="J41" s="2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30"/>
      <c r="B43" s="18"/>
      <c r="C43" s="18"/>
      <c r="D43" s="18"/>
      <c r="E43" s="18"/>
      <c r="F43" s="18"/>
      <c r="G43" s="18"/>
      <c r="H43" s="18"/>
      <c r="I43" s="18"/>
      <c r="J43" s="2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30"/>
      <c r="B45" s="18"/>
      <c r="C45" s="18"/>
      <c r="D45" s="18"/>
      <c r="E45" s="18"/>
      <c r="F45" s="18"/>
      <c r="G45" s="18"/>
      <c r="H45" s="18"/>
      <c r="I45" s="18"/>
      <c r="J45" s="2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30"/>
      <c r="B47" s="18"/>
      <c r="C47" s="18"/>
      <c r="D47" s="18"/>
      <c r="E47" s="18"/>
      <c r="F47" s="18"/>
      <c r="G47" s="18"/>
      <c r="H47" s="18"/>
      <c r="I47" s="18"/>
      <c r="J47" s="2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30"/>
      <c r="B49" s="18"/>
      <c r="C49" s="18"/>
      <c r="D49" s="18"/>
      <c r="E49" s="18"/>
      <c r="F49" s="18"/>
      <c r="G49" s="18"/>
      <c r="H49" s="18"/>
      <c r="I49" s="18"/>
      <c r="J49" s="2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30"/>
      <c r="B51" s="18"/>
      <c r="C51" s="18"/>
      <c r="D51" s="18"/>
      <c r="E51" s="18"/>
      <c r="F51" s="18"/>
      <c r="G51" s="18"/>
      <c r="H51" s="18"/>
      <c r="I51" s="18"/>
      <c r="J51" s="2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30"/>
      <c r="B53" s="18"/>
      <c r="C53" s="18"/>
      <c r="D53" s="18"/>
      <c r="E53" s="18"/>
      <c r="F53" s="18"/>
      <c r="G53" s="18"/>
      <c r="H53" s="18"/>
      <c r="I53" s="18"/>
      <c r="J53" s="2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30"/>
      <c r="B55" s="18"/>
      <c r="C55" s="18"/>
      <c r="D55" s="18"/>
      <c r="E55" s="18"/>
      <c r="F55" s="18"/>
      <c r="G55" s="18"/>
      <c r="H55" s="18"/>
      <c r="I55" s="18"/>
      <c r="J55" s="2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30"/>
      <c r="B57" s="18"/>
      <c r="C57" s="18"/>
      <c r="D57" s="18"/>
      <c r="E57" s="18"/>
      <c r="F57" s="18"/>
      <c r="G57" s="18"/>
      <c r="H57" s="18"/>
      <c r="I57" s="18"/>
      <c r="J57" s="2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30"/>
      <c r="B59" s="18"/>
      <c r="C59" s="18"/>
      <c r="D59" s="18"/>
      <c r="E59" s="18"/>
      <c r="F59" s="18"/>
      <c r="G59" s="18"/>
      <c r="H59" s="18"/>
      <c r="I59" s="18"/>
      <c r="J59" s="2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30"/>
      <c r="B61" s="18"/>
      <c r="C61" s="18"/>
      <c r="D61" s="18"/>
      <c r="E61" s="18"/>
      <c r="F61" s="18"/>
      <c r="G61" s="18"/>
      <c r="H61" s="18"/>
      <c r="I61" s="18"/>
      <c r="J61" s="2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30"/>
      <c r="B63" s="18"/>
      <c r="C63" s="18"/>
      <c r="D63" s="18"/>
      <c r="E63" s="18"/>
      <c r="F63" s="18"/>
      <c r="G63" s="18"/>
      <c r="H63" s="18"/>
      <c r="I63" s="18"/>
      <c r="J63" s="2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30"/>
      <c r="B65" s="18"/>
      <c r="C65" s="18"/>
      <c r="D65" s="18"/>
      <c r="E65" s="18"/>
      <c r="F65" s="18"/>
      <c r="G65" s="18"/>
      <c r="H65" s="18"/>
      <c r="I65" s="18"/>
      <c r="J65" s="2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30"/>
      <c r="B67" s="18"/>
      <c r="C67" s="18"/>
      <c r="D67" s="18"/>
      <c r="E67" s="18"/>
      <c r="F67" s="18"/>
      <c r="G67" s="18"/>
      <c r="H67" s="18"/>
      <c r="I67" s="18"/>
      <c r="J67" s="2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30"/>
      <c r="B69" s="18"/>
      <c r="C69" s="18"/>
      <c r="D69" s="18"/>
      <c r="E69" s="18"/>
      <c r="F69" s="18"/>
      <c r="G69" s="18"/>
      <c r="H69" s="18"/>
      <c r="I69" s="18"/>
      <c r="J69" s="2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30"/>
      <c r="B71" s="18"/>
      <c r="C71" s="18"/>
      <c r="D71" s="18"/>
      <c r="E71" s="18"/>
      <c r="F71" s="18"/>
      <c r="G71" s="18"/>
      <c r="H71" s="18"/>
      <c r="I71" s="18"/>
      <c r="J71" s="2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30"/>
      <c r="B73" s="18"/>
      <c r="C73" s="18"/>
      <c r="D73" s="18"/>
      <c r="E73" s="18"/>
      <c r="F73" s="18"/>
      <c r="G73" s="18"/>
      <c r="H73" s="18"/>
      <c r="I73" s="18"/>
      <c r="J73" s="2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30"/>
      <c r="B75" s="18"/>
      <c r="C75" s="18"/>
      <c r="D75" s="18"/>
      <c r="E75" s="18"/>
      <c r="F75" s="18"/>
      <c r="G75" s="18"/>
      <c r="H75" s="18"/>
      <c r="I75" s="18"/>
      <c r="J75" s="2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30"/>
      <c r="B77" s="18"/>
      <c r="C77" s="18"/>
      <c r="D77" s="18"/>
      <c r="E77" s="18"/>
      <c r="F77" s="18"/>
      <c r="G77" s="18"/>
      <c r="H77" s="18"/>
      <c r="I77" s="18"/>
      <c r="J77" s="2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30"/>
      <c r="B79" s="18"/>
      <c r="C79" s="18"/>
      <c r="D79" s="18"/>
      <c r="E79" s="18"/>
      <c r="F79" s="18"/>
      <c r="G79" s="18"/>
      <c r="H79" s="18"/>
      <c r="I79" s="18"/>
      <c r="J79" s="2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30"/>
      <c r="B81" s="18"/>
      <c r="C81" s="18"/>
      <c r="D81" s="18"/>
      <c r="E81" s="18"/>
      <c r="F81" s="18"/>
      <c r="G81" s="18"/>
      <c r="H81" s="18"/>
      <c r="I81" s="18"/>
      <c r="J81" s="2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30"/>
      <c r="B83" s="18"/>
      <c r="C83" s="18"/>
      <c r="D83" s="18"/>
      <c r="E83" s="18"/>
      <c r="F83" s="18"/>
      <c r="G83" s="18"/>
      <c r="H83" s="18"/>
      <c r="I83" s="18"/>
      <c r="J83" s="2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30"/>
      <c r="B85" s="18"/>
      <c r="C85" s="18"/>
      <c r="D85" s="18"/>
      <c r="E85" s="18"/>
      <c r="F85" s="18"/>
      <c r="G85" s="18"/>
      <c r="H85" s="18"/>
      <c r="I85" s="18"/>
      <c r="J85" s="2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30"/>
      <c r="B87" s="18"/>
      <c r="C87" s="18"/>
      <c r="D87" s="18"/>
      <c r="E87" s="18"/>
      <c r="F87" s="18"/>
      <c r="G87" s="18"/>
      <c r="H87" s="18"/>
      <c r="I87" s="18"/>
      <c r="J87" s="2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30"/>
      <c r="B89" s="18"/>
      <c r="C89" s="18"/>
      <c r="D89" s="18"/>
      <c r="E89" s="18"/>
      <c r="F89" s="18"/>
      <c r="G89" s="18"/>
      <c r="H89" s="18"/>
      <c r="I89" s="18"/>
      <c r="J89" s="2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30"/>
      <c r="B91" s="18"/>
      <c r="C91" s="18"/>
      <c r="D91" s="18"/>
      <c r="E91" s="18"/>
      <c r="F91" s="18"/>
      <c r="G91" s="18"/>
      <c r="H91" s="18"/>
      <c r="I91" s="18"/>
      <c r="J91" s="2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30"/>
      <c r="B93" s="18"/>
      <c r="C93" s="18"/>
      <c r="D93" s="18"/>
      <c r="E93" s="18"/>
      <c r="F93" s="18"/>
      <c r="G93" s="18"/>
      <c r="H93" s="18"/>
      <c r="I93" s="18"/>
      <c r="J93" s="2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30"/>
      <c r="B95" s="18"/>
      <c r="C95" s="18"/>
      <c r="D95" s="18"/>
      <c r="E95" s="18"/>
      <c r="F95" s="18"/>
      <c r="G95" s="18"/>
      <c r="H95" s="18"/>
      <c r="I95" s="18"/>
      <c r="J95" s="2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30"/>
      <c r="B97" s="18"/>
      <c r="C97" s="18"/>
      <c r="D97" s="18"/>
      <c r="E97" s="18"/>
      <c r="F97" s="18"/>
      <c r="G97" s="18"/>
      <c r="H97" s="18"/>
      <c r="I97" s="18"/>
      <c r="J97" s="2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30"/>
      <c r="B99" s="18"/>
      <c r="C99" s="18"/>
      <c r="D99" s="18"/>
      <c r="E99" s="18"/>
      <c r="F99" s="18"/>
      <c r="G99" s="18"/>
      <c r="H99" s="18"/>
      <c r="I99" s="18"/>
      <c r="J99" s="2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30"/>
      <c r="B101" s="18"/>
      <c r="C101" s="18"/>
      <c r="D101" s="18"/>
      <c r="E101" s="18"/>
      <c r="F101" s="18"/>
      <c r="G101" s="18"/>
      <c r="H101" s="18"/>
      <c r="I101" s="18"/>
      <c r="J101" s="2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30"/>
      <c r="B103" s="18"/>
      <c r="C103" s="18"/>
      <c r="D103" s="18"/>
      <c r="E103" s="18"/>
      <c r="F103" s="18"/>
      <c r="G103" s="18"/>
      <c r="H103" s="18"/>
      <c r="I103" s="18"/>
      <c r="J103" s="2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30"/>
      <c r="B105" s="18"/>
      <c r="C105" s="18"/>
      <c r="D105" s="18"/>
      <c r="E105" s="18"/>
      <c r="F105" s="18"/>
      <c r="G105" s="18"/>
      <c r="H105" s="18"/>
      <c r="I105" s="18"/>
      <c r="J105" s="2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30"/>
      <c r="B107" s="18"/>
      <c r="C107" s="18"/>
      <c r="D107" s="18"/>
      <c r="E107" s="18"/>
      <c r="F107" s="18"/>
      <c r="G107" s="18"/>
      <c r="H107" s="18"/>
      <c r="I107" s="18"/>
      <c r="J107" s="2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30"/>
      <c r="B109" s="18"/>
      <c r="C109" s="18"/>
      <c r="D109" s="18"/>
      <c r="E109" s="18"/>
      <c r="F109" s="18"/>
      <c r="G109" s="18"/>
      <c r="H109" s="18"/>
      <c r="I109" s="18"/>
      <c r="J109" s="2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30"/>
      <c r="B111" s="18"/>
      <c r="C111" s="18"/>
      <c r="D111" s="18"/>
      <c r="E111" s="18"/>
      <c r="F111" s="18"/>
      <c r="G111" s="18"/>
      <c r="H111" s="18"/>
      <c r="I111" s="18"/>
      <c r="J111" s="2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30"/>
      <c r="B113" s="18"/>
      <c r="C113" s="18"/>
      <c r="D113" s="18"/>
      <c r="E113" s="18"/>
      <c r="F113" s="18"/>
      <c r="G113" s="18"/>
      <c r="H113" s="18"/>
      <c r="I113" s="18"/>
      <c r="J113" s="2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30"/>
      <c r="B115" s="18"/>
      <c r="C115" s="18"/>
      <c r="D115" s="18"/>
      <c r="E115" s="18"/>
      <c r="F115" s="18"/>
      <c r="G115" s="18"/>
      <c r="H115" s="18"/>
      <c r="I115" s="18"/>
      <c r="J115" s="2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30"/>
      <c r="B117" s="18"/>
      <c r="C117" s="18"/>
      <c r="D117" s="18"/>
      <c r="E117" s="18"/>
      <c r="F117" s="18"/>
      <c r="G117" s="18"/>
      <c r="H117" s="18"/>
      <c r="I117" s="18"/>
      <c r="J117" s="2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30"/>
      <c r="B119" s="18"/>
      <c r="C119" s="18"/>
      <c r="D119" s="18"/>
      <c r="E119" s="18"/>
      <c r="F119" s="18"/>
      <c r="G119" s="18"/>
      <c r="H119" s="18"/>
      <c r="I119" s="18"/>
      <c r="J119" s="2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30"/>
      <c r="B121" s="18"/>
      <c r="C121" s="18"/>
      <c r="D121" s="18"/>
      <c r="E121" s="18"/>
      <c r="F121" s="18"/>
      <c r="G121" s="18"/>
      <c r="H121" s="18"/>
      <c r="I121" s="18"/>
      <c r="J121" s="2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30"/>
      <c r="B123" s="18"/>
      <c r="C123" s="18"/>
      <c r="D123" s="18"/>
      <c r="E123" s="18"/>
      <c r="F123" s="18"/>
      <c r="G123" s="18"/>
      <c r="H123" s="18"/>
      <c r="I123" s="18"/>
      <c r="J123" s="2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30"/>
      <c r="B125" s="18"/>
      <c r="C125" s="18"/>
      <c r="D125" s="18"/>
      <c r="E125" s="18"/>
      <c r="F125" s="18"/>
      <c r="G125" s="18"/>
      <c r="H125" s="18"/>
      <c r="I125" s="18"/>
      <c r="J125" s="2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30"/>
      <c r="B127" s="18"/>
      <c r="C127" s="18"/>
      <c r="D127" s="18"/>
      <c r="E127" s="18"/>
      <c r="F127" s="18"/>
      <c r="G127" s="18"/>
      <c r="H127" s="18"/>
      <c r="I127" s="18"/>
      <c r="J127" s="2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30"/>
      <c r="B129" s="18"/>
      <c r="C129" s="18"/>
      <c r="D129" s="18"/>
      <c r="E129" s="18"/>
      <c r="F129" s="18"/>
      <c r="G129" s="18"/>
      <c r="H129" s="18"/>
      <c r="I129" s="18"/>
      <c r="J129" s="2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30"/>
      <c r="B131" s="18"/>
      <c r="C131" s="18"/>
      <c r="D131" s="18"/>
      <c r="E131" s="18"/>
      <c r="F131" s="18"/>
      <c r="G131" s="18"/>
      <c r="H131" s="18"/>
      <c r="I131" s="18"/>
      <c r="J131" s="2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30"/>
      <c r="B133" s="18"/>
      <c r="C133" s="18"/>
      <c r="D133" s="18"/>
      <c r="E133" s="18"/>
      <c r="F133" s="18"/>
      <c r="G133" s="18"/>
      <c r="H133" s="18"/>
      <c r="I133" s="18"/>
      <c r="J133" s="2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30"/>
      <c r="B135" s="18"/>
      <c r="C135" s="18"/>
      <c r="D135" s="18"/>
      <c r="E135" s="18"/>
      <c r="F135" s="18"/>
      <c r="G135" s="18"/>
      <c r="H135" s="18"/>
      <c r="I135" s="18"/>
      <c r="J135" s="2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30"/>
      <c r="B137" s="18"/>
      <c r="C137" s="18"/>
      <c r="D137" s="18"/>
      <c r="E137" s="18"/>
      <c r="F137" s="18"/>
      <c r="G137" s="18"/>
      <c r="H137" s="18"/>
      <c r="I137" s="18"/>
      <c r="J137" s="2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30"/>
      <c r="B139" s="18"/>
      <c r="C139" s="18"/>
      <c r="D139" s="18"/>
      <c r="E139" s="18"/>
      <c r="F139" s="18"/>
      <c r="G139" s="18"/>
      <c r="H139" s="18"/>
      <c r="I139" s="18"/>
      <c r="J139" s="2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30"/>
      <c r="B141" s="18"/>
      <c r="C141" s="18"/>
      <c r="D141" s="18"/>
      <c r="E141" s="18"/>
      <c r="F141" s="18"/>
      <c r="G141" s="18"/>
      <c r="H141" s="18"/>
      <c r="I141" s="18"/>
      <c r="J141" s="2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30"/>
      <c r="B143" s="18"/>
      <c r="C143" s="18"/>
      <c r="D143" s="18"/>
      <c r="E143" s="18"/>
      <c r="F143" s="18"/>
      <c r="G143" s="18"/>
      <c r="H143" s="18"/>
      <c r="I143" s="18"/>
      <c r="J143" s="2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30"/>
      <c r="B145" s="18"/>
      <c r="C145" s="18"/>
      <c r="D145" s="18"/>
      <c r="E145" s="18"/>
      <c r="F145" s="18"/>
      <c r="G145" s="18"/>
      <c r="H145" s="18"/>
      <c r="I145" s="18"/>
      <c r="J145" s="2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30"/>
      <c r="B147" s="18"/>
      <c r="C147" s="18"/>
      <c r="D147" s="18"/>
      <c r="E147" s="18"/>
      <c r="F147" s="18"/>
      <c r="G147" s="18"/>
      <c r="H147" s="18"/>
      <c r="I147" s="18"/>
      <c r="J147" s="2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30"/>
      <c r="B149" s="18"/>
      <c r="C149" s="18"/>
      <c r="D149" s="18"/>
      <c r="E149" s="18"/>
      <c r="F149" s="18"/>
      <c r="G149" s="18"/>
      <c r="H149" s="18"/>
      <c r="I149" s="18"/>
      <c r="J149" s="2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30"/>
      <c r="B151" s="18"/>
      <c r="C151" s="18"/>
      <c r="D151" s="18"/>
      <c r="E151" s="18"/>
      <c r="F151" s="18"/>
      <c r="G151" s="18"/>
      <c r="H151" s="18"/>
      <c r="I151" s="18"/>
      <c r="J151" s="2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30"/>
      <c r="B153" s="18"/>
      <c r="C153" s="18"/>
      <c r="D153" s="18"/>
      <c r="E153" s="18"/>
      <c r="F153" s="18"/>
      <c r="G153" s="18"/>
      <c r="H153" s="18"/>
      <c r="I153" s="18"/>
      <c r="J153" s="2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30"/>
      <c r="B155" s="18"/>
      <c r="C155" s="18"/>
      <c r="D155" s="18"/>
      <c r="E155" s="18"/>
      <c r="F155" s="18"/>
      <c r="G155" s="18"/>
      <c r="H155" s="18"/>
      <c r="I155" s="18"/>
      <c r="J155" s="2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30"/>
      <c r="B157" s="18"/>
      <c r="C157" s="18"/>
      <c r="D157" s="18"/>
      <c r="E157" s="18"/>
      <c r="F157" s="18"/>
      <c r="G157" s="18"/>
      <c r="H157" s="18"/>
      <c r="I157" s="18"/>
      <c r="J157" s="2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30"/>
      <c r="B159" s="18"/>
      <c r="C159" s="18"/>
      <c r="D159" s="18"/>
      <c r="E159" s="18"/>
      <c r="F159" s="18"/>
      <c r="G159" s="18"/>
      <c r="H159" s="18"/>
      <c r="I159" s="18"/>
      <c r="J159" s="2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30"/>
      <c r="B161" s="18"/>
      <c r="C161" s="18"/>
      <c r="D161" s="18"/>
      <c r="E161" s="18"/>
      <c r="F161" s="18"/>
      <c r="G161" s="18"/>
      <c r="H161" s="18"/>
      <c r="I161" s="18"/>
      <c r="J161" s="2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30"/>
      <c r="B163" s="18"/>
      <c r="C163" s="18"/>
      <c r="D163" s="18"/>
      <c r="E163" s="18"/>
      <c r="F163" s="18"/>
      <c r="G163" s="18"/>
      <c r="H163" s="18"/>
      <c r="I163" s="18"/>
      <c r="J163" s="2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30"/>
      <c r="B165" s="18"/>
      <c r="C165" s="18"/>
      <c r="D165" s="18"/>
      <c r="E165" s="18"/>
      <c r="F165" s="18"/>
      <c r="G165" s="18"/>
      <c r="H165" s="18"/>
      <c r="I165" s="18"/>
      <c r="J165" s="2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30"/>
      <c r="B167" s="18"/>
      <c r="C167" s="18"/>
      <c r="D167" s="18"/>
      <c r="E167" s="18"/>
      <c r="F167" s="18"/>
      <c r="G167" s="18"/>
      <c r="H167" s="18"/>
      <c r="I167" s="18"/>
      <c r="J167" s="2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30"/>
      <c r="B169" s="18"/>
      <c r="C169" s="18"/>
      <c r="D169" s="18"/>
      <c r="E169" s="18"/>
      <c r="F169" s="18"/>
      <c r="G169" s="18"/>
      <c r="H169" s="18"/>
      <c r="I169" s="18"/>
      <c r="J169" s="2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30"/>
      <c r="B171" s="18"/>
      <c r="C171" s="18"/>
      <c r="D171" s="18"/>
      <c r="E171" s="18"/>
      <c r="F171" s="18"/>
      <c r="G171" s="18"/>
      <c r="H171" s="18"/>
      <c r="I171" s="18"/>
      <c r="J171" s="2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30"/>
      <c r="B173" s="18"/>
      <c r="C173" s="18"/>
      <c r="D173" s="18"/>
      <c r="E173" s="18"/>
      <c r="F173" s="18"/>
      <c r="G173" s="18"/>
      <c r="H173" s="18"/>
      <c r="I173" s="18"/>
      <c r="J173" s="2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30"/>
      <c r="B175" s="18"/>
      <c r="C175" s="18"/>
      <c r="D175" s="18"/>
      <c r="E175" s="18"/>
      <c r="F175" s="18"/>
      <c r="G175" s="18"/>
      <c r="H175" s="18"/>
      <c r="I175" s="18"/>
      <c r="J175" s="2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30"/>
      <c r="B177" s="18"/>
      <c r="C177" s="18"/>
      <c r="D177" s="18"/>
      <c r="E177" s="18"/>
      <c r="F177" s="18"/>
      <c r="G177" s="18"/>
      <c r="H177" s="18"/>
      <c r="I177" s="18"/>
      <c r="J177" s="2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30"/>
      <c r="B179" s="18"/>
      <c r="C179" s="18"/>
      <c r="D179" s="18"/>
      <c r="E179" s="18"/>
      <c r="F179" s="18"/>
      <c r="G179" s="18"/>
      <c r="H179" s="18"/>
      <c r="I179" s="18"/>
      <c r="J179" s="2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30"/>
      <c r="B181" s="18"/>
      <c r="C181" s="18"/>
      <c r="D181" s="18"/>
      <c r="E181" s="18"/>
      <c r="F181" s="18"/>
      <c r="G181" s="18"/>
      <c r="H181" s="18"/>
      <c r="I181" s="18"/>
      <c r="J181" s="2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30"/>
      <c r="B183" s="18"/>
      <c r="C183" s="18"/>
      <c r="D183" s="18"/>
      <c r="E183" s="18"/>
      <c r="F183" s="18"/>
      <c r="G183" s="18"/>
      <c r="H183" s="18"/>
      <c r="I183" s="18"/>
      <c r="J183" s="2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30"/>
      <c r="B185" s="18"/>
      <c r="C185" s="18"/>
      <c r="D185" s="18"/>
      <c r="E185" s="18"/>
      <c r="F185" s="18"/>
      <c r="G185" s="18"/>
      <c r="H185" s="18"/>
      <c r="I185" s="18"/>
      <c r="J185" s="2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30"/>
      <c r="B187" s="18"/>
      <c r="C187" s="18"/>
      <c r="D187" s="18"/>
      <c r="E187" s="18"/>
      <c r="F187" s="18"/>
      <c r="G187" s="18"/>
      <c r="H187" s="18"/>
      <c r="I187" s="18"/>
      <c r="J187" s="2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9" thickBot="1" x14ac:dyDescent="0.3">
      <c r="A189" s="31"/>
      <c r="B189" s="32"/>
      <c r="C189" s="32"/>
      <c r="D189" s="32"/>
      <c r="E189" s="32"/>
      <c r="F189" s="18"/>
      <c r="G189" s="18"/>
      <c r="H189" s="18"/>
      <c r="I189" s="18"/>
      <c r="J189" s="29"/>
    </row>
    <row r="190" spans="1:10" ht="18" x14ac:dyDescent="0.25">
      <c r="F190" s="3"/>
      <c r="G190" s="3"/>
      <c r="H190" s="3"/>
      <c r="I190" s="3"/>
      <c r="J190" s="9"/>
    </row>
    <row r="191" spans="1:10" ht="19" thickBot="1" x14ac:dyDescent="0.3">
      <c r="F191" s="32"/>
      <c r="G191" s="18"/>
      <c r="H191" s="18"/>
      <c r="I191" s="18"/>
      <c r="J191" s="29"/>
    </row>
    <row r="192" spans="1:10" ht="18" x14ac:dyDescent="0.25">
      <c r="G192" s="3"/>
      <c r="H192" s="3"/>
      <c r="I192" s="3"/>
      <c r="J192" s="9"/>
    </row>
    <row r="193" spans="7:10" ht="19" thickBot="1" x14ac:dyDescent="0.3">
      <c r="G193" s="32"/>
      <c r="H193" s="18"/>
      <c r="I193" s="18"/>
      <c r="J193" s="29"/>
    </row>
    <row r="194" spans="7:10" ht="18" x14ac:dyDescent="0.25">
      <c r="H194" s="3"/>
      <c r="I194" s="3"/>
      <c r="J194" s="9"/>
    </row>
    <row r="195" spans="7:10" ht="18" x14ac:dyDescent="0.25">
      <c r="H195" s="18"/>
      <c r="I195" s="18"/>
      <c r="J195" s="29"/>
    </row>
    <row r="196" spans="7:10" ht="18" x14ac:dyDescent="0.25">
      <c r="H196" s="3"/>
      <c r="I196" s="3"/>
      <c r="J196" s="9"/>
    </row>
    <row r="197" spans="7:10" ht="19" thickBot="1" x14ac:dyDescent="0.3">
      <c r="H197" s="32"/>
      <c r="I197" s="32"/>
      <c r="J197" s="33"/>
    </row>
  </sheetData>
  <conditionalFormatting sqref="G15:G193 F15:F191 A15:E189 H1:J197">
    <cfRule type="expression" dxfId="18" priority="11">
      <formula>MOD(ROW(),2)=0</formula>
    </cfRule>
  </conditionalFormatting>
  <conditionalFormatting sqref="A1 F1:G2 F9:G14 B1:E6 F3:F6 B7:G8">
    <cfRule type="expression" dxfId="17" priority="6">
      <formula>MOD(ROW(),2)=0</formula>
    </cfRule>
  </conditionalFormatting>
  <conditionalFormatting sqref="B9:D10">
    <cfRule type="expression" dxfId="16" priority="4">
      <formula>MOD(ROW(),2)=0</formula>
    </cfRule>
  </conditionalFormatting>
  <conditionalFormatting sqref="E9:E12">
    <cfRule type="expression" dxfId="15" priority="3">
      <formula>MOD(ROW(),2)=0</formula>
    </cfRule>
  </conditionalFormatting>
  <conditionalFormatting sqref="G3:G6">
    <cfRule type="expression" dxfId="14" priority="5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H19" sqref="H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13" priority="7">
      <formula>MOD(ROW(),2)=0</formula>
    </cfRule>
  </conditionalFormatting>
  <conditionalFormatting sqref="B1 D1:J1">
    <cfRule type="expression" dxfId="12" priority="8">
      <formula>MOD(ROW(),2)=0</formula>
    </cfRule>
  </conditionalFormatting>
  <conditionalFormatting sqref="E14:E17">
    <cfRule type="expression" dxfId="11" priority="1">
      <formula>MOD(ROW(),2)=0</formula>
    </cfRule>
  </conditionalFormatting>
  <conditionalFormatting sqref="F4:F5">
    <cfRule type="expression" dxfId="10" priority="6">
      <formula>MOD(ROW(),2)=0</formula>
    </cfRule>
  </conditionalFormatting>
  <conditionalFormatting sqref="F10:F13">
    <cfRule type="expression" dxfId="9" priority="2">
      <formula>MOD(ROW(),2)=0</formula>
    </cfRule>
  </conditionalFormatting>
  <conditionalFormatting sqref="G6:G9">
    <cfRule type="expression" dxfId="8" priority="4">
      <formula>MOD(ROW(),2)=0</formula>
    </cfRule>
  </conditionalFormatting>
  <conditionalFormatting sqref="K1:XFD1 B2:XFD3 B4:E5 G4:XFD5 B6:F9 H6:XFD9 B10:E13 G10:XFD13 B14:D15 F14:XFD19 E20:XFD21 A22:XFD1048576">
    <cfRule type="expression" dxfId="7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topLeftCell="A16" zoomScale="103" zoomScaleNormal="111" workbookViewId="0">
      <selection activeCell="E30" sqref="A1:J200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6" priority="7">
      <formula>MOD(ROW(),2)=0</formula>
    </cfRule>
  </conditionalFormatting>
  <conditionalFormatting sqref="B1 D1:J1">
    <cfRule type="expression" dxfId="5" priority="8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3" priority="1">
      <formula>MOD(ROW(),2)=0</formula>
    </cfRule>
  </conditionalFormatting>
  <conditionalFormatting sqref="F4:F11">
    <cfRule type="expression" dxfId="2" priority="3">
      <formula>MOD(ROW(),2)=0</formula>
    </cfRule>
  </conditionalFormatting>
  <conditionalFormatting sqref="G4:G7">
    <cfRule type="expression" dxfId="1" priority="5">
      <formula>MOD(ROW(),2)=0</formula>
    </cfRule>
  </conditionalFormatting>
  <conditionalFormatting sqref="K1:XFD1 E20:XFD21 A22:XFD1048576">
    <cfRule type="expression" dxfId="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JB_{V1}</vt:lpstr>
      <vt:lpstr>JB_{V1}_150mph_1hr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2026-09-23T16:15:44Z</dcterms:modified>
</cp:coreProperties>
</file>