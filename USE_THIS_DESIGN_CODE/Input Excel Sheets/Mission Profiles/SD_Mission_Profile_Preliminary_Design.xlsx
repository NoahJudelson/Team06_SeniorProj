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96ACEF58-09D5-2040-96E4-F8F43418BF33}" xr6:coauthVersionLast="47" xr6:coauthVersionMax="47" xr10:uidLastSave="{00000000-0000-0000-0000-000000000000}"/>
  <bookViews>
    <workbookView xWindow="0" yWindow="4100" windowWidth="28800" windowHeight="16220" activeTab="2" xr2:uid="{AC12A90C-16A5-0547-A6DB-57534C200D25}"/>
  </bookViews>
  <sheets>
    <sheet name="Templates" sheetId="2" r:id="rId1"/>
    <sheet name="JB_{V1}" sheetId="13" r:id="rId2"/>
    <sheet name="JB_{V1}_Flap_Profile" sheetId="15" r:id="rId3"/>
    <sheet name="C172" sheetId="5" r:id="rId4"/>
    <sheet name="Electric C17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5" l="1"/>
  <c r="D13" i="13"/>
  <c r="D13" i="6" l="1"/>
  <c r="D15" i="5"/>
</calcChain>
</file>

<file path=xl/sharedStrings.xml><?xml version="1.0" encoding="utf-8"?>
<sst xmlns="http://schemas.openxmlformats.org/spreadsheetml/2006/main" count="185" uniqueCount="39">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</sst>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</cellXfs>
  <cellStyles count="2">
    <cellStyle name="Currency" xfId="1" builtinId="4"/>
    <cellStyle name="Normal" xfId="0" builtinId="0"/>
  </cellStyles>
  <dxfs count="65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64" dataDxfId="63" tableBorderDxfId="62">
  <autoFilter ref="A1:J200" xr:uid="{9C530343-8F22-3F4B-A21B-7146C98EA73F}"/>
  <tableColumns count="10">
    <tableColumn id="1" xr3:uid="{1DCE1C02-B81F-5A42-9F8D-CD4F2F5FA0E1}" name="Segment #" dataDxfId="61"/>
    <tableColumn id="2" xr3:uid="{5BC906B8-6517-EF46-B234-4259BF6806AC}" name="Segment Type" dataDxfId="60"/>
    <tableColumn id="3" xr3:uid="{2316AD57-00CB-1E49-8500-2FF3F364AA6A}" name="Input 1" dataDxfId="59"/>
    <tableColumn id="4" xr3:uid="{7B8395BD-D411-0042-9A31-EA5C362163AA}" name="Input 2" dataDxfId="58"/>
    <tableColumn id="5" xr3:uid="{33A57DAD-EC47-2849-978C-EB31BD2A52E2}" name="Input 3" dataDxfId="57"/>
    <tableColumn id="6" xr3:uid="{0A0C4CA9-5EB2-A241-9E5D-369C3DF8DD43}" name="Input 4" dataDxfId="56"/>
    <tableColumn id="7" xr3:uid="{F74535B0-48DE-764E-BF99-0B508A958BAF}" name="Input 5" dataDxfId="55"/>
    <tableColumn id="8" xr3:uid="{E9628660-11E2-3E40-A190-AD9EAF0C192F}" name="Input 6" dataDxfId="54"/>
    <tableColumn id="9" xr3:uid="{EEA218E2-389D-1747-84AD-258E65EE195D}" name="Input 7" dataDxfId="53"/>
    <tableColumn id="10" xr3:uid="{C68BB87A-98DA-5746-906B-34304D19B708}" name="Input 8" dataDxfId="52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1" dataDxfId="50" tableBorderDxfId="49">
  <autoFilter ref="A1:J200" xr:uid="{E9D8E600-FE9F-5C45-8634-0D6DD0E667E3}"/>
  <tableColumns count="10">
    <tableColumn id="1" xr3:uid="{D23BA427-6FDC-6C46-AADC-76777DF0599D}" name="Segment #" dataDxfId="48"/>
    <tableColumn id="2" xr3:uid="{AF07C20E-012B-4A4D-9685-4B5C108A0C48}" name="Segment Type" dataDxfId="47"/>
    <tableColumn id="3" xr3:uid="{4435643B-BB1E-B147-82C8-67CCC931376A}" name="Input 1" dataDxfId="46"/>
    <tableColumn id="4" xr3:uid="{0B4DDA9A-2037-CD43-BDB5-1B7EC266CFA6}" name="Input 2" dataDxfId="45"/>
    <tableColumn id="5" xr3:uid="{86FFB808-2BA0-844B-8C45-E32051CFF226}" name="Input 3" dataDxfId="44"/>
    <tableColumn id="6" xr3:uid="{F128F1FB-77A9-344F-BFE0-756AD971F3AA}" name="Input 4" dataDxfId="43"/>
    <tableColumn id="7" xr3:uid="{FC13F1AE-660A-024C-9FD6-B2953ADD8A85}" name="Input 5" dataDxfId="42"/>
    <tableColumn id="8" xr3:uid="{3E1346B8-FB5C-6842-91DE-8C95912BEF7C}" name="Input 6" dataDxfId="41"/>
    <tableColumn id="9" xr3:uid="{C19B4E6F-21EC-B346-A54F-D52512B94A8A}" name="Input 7" dataDxfId="40"/>
    <tableColumn id="10" xr3:uid="{6524E215-8B7D-1E43-A2C0-2C1B780A18A9}" name="Input 8" dataDxfId="39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38" dataDxfId="37" tableBorderDxfId="36">
  <autoFilter ref="A1:J200" xr:uid="{E9D8E600-FE9F-5C45-8634-0D6DD0E667E3}"/>
  <tableColumns count="10">
    <tableColumn id="1" xr3:uid="{15EB4EF6-08A8-964E-ABD5-0CF3EEC0C7B7}" name="Segment #" dataDxfId="35"/>
    <tableColumn id="2" xr3:uid="{10C18371-46B8-6544-9972-D21BFA1DB0CD}" name="Segment Type" dataDxfId="34"/>
    <tableColumn id="3" xr3:uid="{526667C5-306E-7D43-B338-699328AA6680}" name="Input 1" dataDxfId="33"/>
    <tableColumn id="4" xr3:uid="{285F1D9C-6790-F049-8810-78F8A349CEA8}" name="Input 2" dataDxfId="32"/>
    <tableColumn id="5" xr3:uid="{414CB0C1-F49D-4248-9E2F-428FEB38D5DA}" name="Input 3" dataDxfId="31"/>
    <tableColumn id="6" xr3:uid="{7993028E-EBAF-D840-BAB7-8BA72340BA98}" name="Input 4" dataDxfId="30"/>
    <tableColumn id="7" xr3:uid="{6617A981-14C9-8C42-A72A-0EB397E2F530}" name="Input 5" dataDxfId="29"/>
    <tableColumn id="8" xr3:uid="{7AE9ECDF-5690-DE42-BC09-5934349F52E2}" name="Input 6" dataDxfId="28"/>
    <tableColumn id="9" xr3:uid="{D1E2BD85-064E-C746-9E9E-6DA887B3E2CA}" name="Input 7" dataDxfId="27"/>
    <tableColumn id="10" xr3:uid="{F7213638-D701-E04E-A444-9564EC9CA3EE}" name="Input 8" dataDxfId="26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5" priority="1">
      <formula>MOD(ROW(),2)=0</formula>
    </cfRule>
  </conditionalFormatting>
  <conditionalFormatting sqref="B1:F12 F13:F20 B15:E20 A21:F21 B22:F23">
    <cfRule type="expression" dxfId="24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workbookViewId="0">
      <selection activeCell="D9" sqref="D9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0.1</v>
      </c>
      <c r="F5" s="3">
        <v>0.1</v>
      </c>
      <c r="G5" s="3">
        <v>0.01</v>
      </c>
      <c r="H5" s="3"/>
      <c r="I5" s="3"/>
      <c r="J5" s="9"/>
    </row>
    <row r="6" spans="1:10" ht="18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0.01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35</v>
      </c>
      <c r="E9" s="3">
        <v>0.2</v>
      </c>
      <c r="F9" s="3">
        <v>0.01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14">
        <v>15000</v>
      </c>
      <c r="D11" s="3">
        <v>35</v>
      </c>
      <c r="E11" s="3">
        <v>0.2</v>
      </c>
      <c r="F11" s="3">
        <v>0.01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15000</v>
      </c>
      <c r="D13" s="13">
        <f>10/60</f>
        <v>0.16666666666666666</v>
      </c>
      <c r="E13" s="3">
        <v>0.01</v>
      </c>
      <c r="F13" s="3"/>
      <c r="G13" s="3"/>
      <c r="H13" s="3"/>
      <c r="I13" s="3"/>
      <c r="J13" s="9"/>
    </row>
    <row r="14" spans="1:10" ht="18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11 H4:J7 G8:J11 F12:J19">
    <cfRule type="expression" dxfId="23" priority="5">
      <formula>MOD(ROW(),2)=0</formula>
    </cfRule>
  </conditionalFormatting>
  <conditionalFormatting sqref="B1 D1:J1">
    <cfRule type="expression" dxfId="22" priority="6">
      <formula>MOD(ROW(),2)=0</formula>
    </cfRule>
  </conditionalFormatting>
  <conditionalFormatting sqref="B12:D13">
    <cfRule type="expression" dxfId="21" priority="2">
      <formula>MOD(ROW(),2)=0</formula>
    </cfRule>
  </conditionalFormatting>
  <conditionalFormatting sqref="E12:E15">
    <cfRule type="expression" dxfId="20" priority="1">
      <formula>MOD(ROW(),2)=0</formula>
    </cfRule>
  </conditionalFormatting>
  <conditionalFormatting sqref="E20:J21 A22:J200">
    <cfRule type="expression" dxfId="19" priority="7">
      <formula>MOD(ROW(),2)=0</formula>
    </cfRule>
  </conditionalFormatting>
  <conditionalFormatting sqref="F4:F11">
    <cfRule type="expression" dxfId="18" priority="3">
      <formula>MOD(ROW(),2)=0</formula>
    </cfRule>
  </conditionalFormatting>
  <conditionalFormatting sqref="G4:G7">
    <cfRule type="expression" dxfId="17" priority="4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9"/>
  <sheetViews>
    <sheetView tabSelected="1" workbookViewId="0">
      <selection activeCell="D7" sqref="D7"/>
    </sheetView>
  </sheetViews>
  <sheetFormatPr baseColWidth="10" defaultRowHeight="16" x14ac:dyDescent="0.2"/>
  <sheetData>
    <row r="1" spans="1:10" ht="18" x14ac:dyDescent="0.25">
      <c r="A1" s="25">
        <v>1</v>
      </c>
      <c r="B1" s="18" t="s">
        <v>0</v>
      </c>
      <c r="C1" s="18" t="s">
        <v>1</v>
      </c>
      <c r="D1" s="18" t="s">
        <v>2</v>
      </c>
      <c r="E1" s="18" t="s">
        <v>3</v>
      </c>
      <c r="F1" s="26" t="s">
        <v>31</v>
      </c>
      <c r="G1" s="26"/>
      <c r="H1" s="26"/>
      <c r="I1" s="26"/>
      <c r="J1" s="27"/>
    </row>
    <row r="2" spans="1:10" ht="18" x14ac:dyDescent="0.25">
      <c r="A2" s="8"/>
      <c r="B2" s="3"/>
      <c r="C2" s="3">
        <v>8000</v>
      </c>
      <c r="D2" s="3">
        <v>2</v>
      </c>
      <c r="E2" s="3">
        <v>0.05</v>
      </c>
      <c r="F2" s="3">
        <v>1.5E-3</v>
      </c>
      <c r="G2" s="3"/>
      <c r="H2" s="3"/>
      <c r="I2" s="3"/>
      <c r="J2" s="9"/>
    </row>
    <row r="3" spans="1:10" ht="18" x14ac:dyDescent="0.25">
      <c r="A3" s="28">
        <v>2</v>
      </c>
      <c r="B3" s="18" t="s">
        <v>10</v>
      </c>
      <c r="C3" s="18" t="s">
        <v>5</v>
      </c>
      <c r="D3" s="18" t="s">
        <v>17</v>
      </c>
      <c r="E3" s="18" t="s">
        <v>11</v>
      </c>
      <c r="F3" s="18" t="s">
        <v>33</v>
      </c>
      <c r="G3" s="18"/>
      <c r="H3" s="18"/>
      <c r="I3" s="18"/>
      <c r="J3" s="29"/>
    </row>
    <row r="4" spans="1:10" ht="18" x14ac:dyDescent="0.25">
      <c r="A4" s="8"/>
      <c r="B4" s="3"/>
      <c r="C4" s="3">
        <v>8000</v>
      </c>
      <c r="D4" s="3">
        <v>5</v>
      </c>
      <c r="E4" s="3">
        <v>4.7300000000000002E-2</v>
      </c>
      <c r="F4" s="3">
        <v>0.01</v>
      </c>
      <c r="G4" s="3"/>
      <c r="H4" s="3"/>
      <c r="I4" s="3"/>
      <c r="J4" s="9"/>
    </row>
    <row r="5" spans="1:10" ht="18" x14ac:dyDescent="0.25">
      <c r="A5" s="28">
        <v>3</v>
      </c>
      <c r="B5" s="18" t="s">
        <v>12</v>
      </c>
      <c r="C5" s="18" t="s">
        <v>5</v>
      </c>
      <c r="D5" s="18" t="s">
        <v>13</v>
      </c>
      <c r="E5" s="18" t="s">
        <v>34</v>
      </c>
      <c r="F5" s="18"/>
      <c r="G5" s="18"/>
      <c r="H5" s="18"/>
      <c r="I5" s="18"/>
      <c r="J5" s="29"/>
    </row>
    <row r="6" spans="1:10" ht="18" x14ac:dyDescent="0.25">
      <c r="A6" s="8"/>
      <c r="B6" s="3"/>
      <c r="C6" s="14">
        <v>8000</v>
      </c>
      <c r="D6" s="13">
        <f>30/60</f>
        <v>0.5</v>
      </c>
      <c r="E6" s="3">
        <v>0.01</v>
      </c>
      <c r="F6" s="3"/>
      <c r="G6" s="3"/>
      <c r="H6" s="3"/>
      <c r="I6" s="3"/>
      <c r="J6" s="9"/>
    </row>
    <row r="7" spans="1:10" ht="18" x14ac:dyDescent="0.25">
      <c r="A7" s="28">
        <v>4</v>
      </c>
      <c r="B7" s="23" t="s">
        <v>27</v>
      </c>
      <c r="C7" s="23" t="s">
        <v>35</v>
      </c>
      <c r="D7" s="18"/>
      <c r="E7" s="18"/>
      <c r="F7" s="23"/>
      <c r="G7" s="18"/>
      <c r="H7" s="18"/>
      <c r="I7" s="18"/>
      <c r="J7" s="29"/>
    </row>
    <row r="8" spans="1:10" ht="18" x14ac:dyDescent="0.25">
      <c r="A8" s="8"/>
      <c r="B8" s="3"/>
      <c r="C8" s="3">
        <v>1E-3</v>
      </c>
      <c r="D8" s="3"/>
      <c r="E8" s="3"/>
      <c r="F8" s="3"/>
      <c r="G8" s="3"/>
      <c r="H8" s="3"/>
      <c r="I8" s="3"/>
      <c r="J8" s="9"/>
    </row>
    <row r="9" spans="1:10" ht="18" x14ac:dyDescent="0.25">
      <c r="A9" s="28"/>
      <c r="B9" s="23"/>
      <c r="C9" s="23"/>
      <c r="D9" s="18"/>
      <c r="E9" s="18"/>
      <c r="F9" s="18"/>
      <c r="G9" s="18"/>
      <c r="H9" s="18"/>
      <c r="I9" s="18"/>
      <c r="J9" s="29"/>
    </row>
    <row r="10" spans="1:10" ht="18" x14ac:dyDescent="0.25">
      <c r="A10" s="8"/>
      <c r="B10" s="3"/>
      <c r="C10" s="3"/>
      <c r="D10" s="3"/>
      <c r="E10" s="3"/>
      <c r="F10" s="3"/>
      <c r="G10" s="3"/>
      <c r="H10" s="3"/>
      <c r="I10" s="3"/>
      <c r="J10" s="9"/>
    </row>
    <row r="11" spans="1:10" ht="18" x14ac:dyDescent="0.25">
      <c r="A11" s="28"/>
      <c r="B11" s="18"/>
      <c r="C11" s="18"/>
      <c r="D11" s="18"/>
      <c r="E11" s="18"/>
      <c r="F11" s="18"/>
      <c r="G11" s="18"/>
      <c r="H11" s="18"/>
      <c r="I11" s="18"/>
      <c r="J11" s="29"/>
    </row>
    <row r="12" spans="1:10" ht="18" x14ac:dyDescent="0.25">
      <c r="A12" s="6"/>
      <c r="B12" s="3"/>
      <c r="C12" s="3"/>
      <c r="D12" s="3"/>
      <c r="E12" s="3"/>
      <c r="F12" s="3"/>
      <c r="G12" s="3"/>
      <c r="H12" s="3"/>
      <c r="I12" s="3"/>
      <c r="J12" s="9"/>
    </row>
    <row r="13" spans="1:10" ht="18" x14ac:dyDescent="0.25">
      <c r="A13" s="30"/>
      <c r="B13" s="18"/>
      <c r="C13" s="18"/>
      <c r="D13" s="18"/>
      <c r="E13" s="18"/>
      <c r="F13" s="18"/>
      <c r="G13" s="18"/>
      <c r="H13" s="18"/>
      <c r="I13" s="18"/>
      <c r="J13" s="29"/>
    </row>
    <row r="14" spans="1:10" ht="18" x14ac:dyDescent="0.25">
      <c r="A14" s="6"/>
      <c r="B14" s="3"/>
      <c r="C14" s="3"/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30"/>
      <c r="B189" s="18"/>
      <c r="C189" s="18"/>
      <c r="D189" s="18"/>
      <c r="E189" s="18"/>
      <c r="F189" s="18"/>
      <c r="G189" s="18"/>
      <c r="H189" s="18"/>
      <c r="I189" s="18"/>
      <c r="J189" s="2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9" thickBot="1" x14ac:dyDescent="0.3">
      <c r="A191" s="31"/>
      <c r="B191" s="32"/>
      <c r="C191" s="32"/>
      <c r="D191" s="32"/>
      <c r="E191" s="32"/>
      <c r="F191" s="18"/>
      <c r="G191" s="18"/>
      <c r="H191" s="18"/>
      <c r="I191" s="18"/>
      <c r="J191" s="29"/>
    </row>
    <row r="192" spans="1:10" ht="18" x14ac:dyDescent="0.25">
      <c r="F192" s="3"/>
      <c r="G192" s="3"/>
      <c r="H192" s="3"/>
      <c r="I192" s="3"/>
      <c r="J192" s="9"/>
    </row>
    <row r="193" spans="6:10" ht="19" thickBot="1" x14ac:dyDescent="0.3">
      <c r="F193" s="32"/>
      <c r="G193" s="18"/>
      <c r="H193" s="18"/>
      <c r="I193" s="18"/>
      <c r="J193" s="29"/>
    </row>
    <row r="194" spans="6:10" ht="18" x14ac:dyDescent="0.25">
      <c r="G194" s="3"/>
      <c r="H194" s="3"/>
      <c r="I194" s="3"/>
      <c r="J194" s="9"/>
    </row>
    <row r="195" spans="6:10" ht="19" thickBot="1" x14ac:dyDescent="0.3">
      <c r="G195" s="32"/>
      <c r="H195" s="18"/>
      <c r="I195" s="18"/>
      <c r="J195" s="29"/>
    </row>
    <row r="196" spans="6:10" ht="18" x14ac:dyDescent="0.25">
      <c r="H196" s="3"/>
      <c r="I196" s="3"/>
      <c r="J196" s="9"/>
    </row>
    <row r="197" spans="6:10" ht="18" x14ac:dyDescent="0.25">
      <c r="H197" s="18"/>
      <c r="I197" s="18"/>
      <c r="J197" s="29"/>
    </row>
    <row r="198" spans="6:10" ht="18" x14ac:dyDescent="0.25">
      <c r="H198" s="3"/>
      <c r="I198" s="3"/>
      <c r="J198" s="9"/>
    </row>
    <row r="199" spans="6:10" ht="19" thickBot="1" x14ac:dyDescent="0.3">
      <c r="H199" s="32"/>
      <c r="I199" s="32"/>
      <c r="J199" s="33"/>
    </row>
  </sheetData>
  <conditionalFormatting sqref="A1 F1:J2 B1:E4 H3:J199 F3:G4 G5:G195 E11:E12 F5:F193 A13:E191">
    <cfRule type="expression" dxfId="16" priority="5">
      <formula>MOD(ROW(),2)=0</formula>
    </cfRule>
  </conditionalFormatting>
  <conditionalFormatting sqref="B5:D6">
    <cfRule type="expression" dxfId="15" priority="2">
      <formula>MOD(ROW(),2)=0</formula>
    </cfRule>
  </conditionalFormatting>
  <conditionalFormatting sqref="E5:E6">
    <cfRule type="expression" dxfId="14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B16" sqref="B16:C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topLeftCell="A16" zoomScale="103" zoomScaleNormal="111" workbookViewId="0">
      <selection activeCell="E30" sqref="A1:J200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JB_{V1}_Flap_Profile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2026-09-16T15:44:09Z</dcterms:modified>
</cp:coreProperties>
</file>