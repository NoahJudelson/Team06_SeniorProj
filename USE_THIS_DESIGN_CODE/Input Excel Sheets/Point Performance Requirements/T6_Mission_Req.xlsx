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woj/Documents/MATLAB/26-27/Fall/Aircraft Design/Team06_SeniorProj/USE_THIS_DESIGN_CODE/Input Excel Sheets/Point Performance Requirements/"/>
    </mc:Choice>
  </mc:AlternateContent>
  <xr:revisionPtr revIDLastSave="0" documentId="13_ncr:1_{9E98BD27-F3A7-3A44-9C3A-E805AC24A85B}" xr6:coauthVersionLast="47" xr6:coauthVersionMax="47" xr10:uidLastSave="{00000000-0000-0000-0000-000000000000}"/>
  <bookViews>
    <workbookView xWindow="0" yWindow="500" windowWidth="28800" windowHeight="16220" activeTab="2" xr2:uid="{AC12A90C-16A5-0547-A6DB-57534C200D25}"/>
  </bookViews>
  <sheets>
    <sheet name="Templates" sheetId="2" r:id="rId1"/>
    <sheet name="JB_V1" sheetId="10" r:id="rId2"/>
    <sheet name="JB_Verification" sheetId="11" r:id="rId3"/>
    <sheet name="C172" sheetId="3" r:id="rId4"/>
    <sheet name="B747" sheetId="6" r:id="rId5"/>
    <sheet name="TurboTil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<sst xmlns="http://schemas.openxmlformats.org/spreadsheetml/2006/main" count="396" uniqueCount="49">
  <si>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</si>
  <si>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</si>
  <si>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</si>
  <si>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</si>
  <si>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</si>
  <si>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</si>
  <si>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</si>
  <si>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</si>
  <si>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</si>
  <si>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</si>
  <si>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</si>
  <si>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</si>
  <si>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</si>
  <si>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</si>
  <si>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</si>
  <si>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</si>
  <si>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</si>
  <si>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</si>
  <si>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</si>
  <si>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</si>
  <si>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</si>
  <si>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</si>
  <si>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</si>
  <si>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</si>
  <si>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</si>
  <si>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</si>
  <si>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</si>
  <si>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</si>
  <si>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</si>
  <si>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</si>
  <si>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</si>
  <si>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</si>
  <si>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PROP</t>
  </si>
  <si>
    <t>Landing Distance</t>
  </si>
  <si>
    <t>Landing Distance [ft]</t>
  </si>
  <si>
    <t xml:space="preserve">Takeoff </t>
  </si>
  <si>
    <t xml:space="preserve">Landing </t>
  </si>
  <si>
    <t>Landing</t>
  </si>
  <si>
    <t>Takeoff</t>
  </si>
  <si>
    <t>VTOL</t>
  </si>
  <si>
    <t>Altitude[ft]</t>
  </si>
  <si>
    <t>V_Climb [ft/s]</t>
  </si>
  <si>
    <t>VTOL Takeoff</t>
  </si>
  <si>
    <t>Objective Max Mach</t>
  </si>
  <si>
    <t>Objecrtive Stall Velocity</t>
  </si>
  <si>
    <t>Objective Takeoff Distance</t>
  </si>
  <si>
    <t>35 mph Stall Velo</t>
  </si>
  <si>
    <t>400 ft landing distance</t>
  </si>
  <si>
    <t>400 ft takeoff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</si>
</sst>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  <font>
      <sz val="12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0" xfId="0" applyFont="1"/>
    <xf numFmtId="0" fontId="3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0" fontId="3" fillId="0" borderId="13" xfId="0" applyFont="1" applyBorder="1"/>
    <xf numFmtId="0" fontId="1" fillId="0" borderId="15" xfId="0" applyFont="1" applyBorder="1"/>
    <xf numFmtId="0" fontId="1" fillId="2" borderId="5" xfId="0" applyFont="1" applyFill="1" applyBorder="1"/>
    <xf numFmtId="0" fontId="1" fillId="2" borderId="14" xfId="0" applyFont="1" applyFill="1" applyBorder="1"/>
    <xf numFmtId="0" fontId="2" fillId="2" borderId="1" xfId="0" applyFont="1" applyFill="1" applyBorder="1"/>
    <xf numFmtId="0" fontId="2" fillId="0" borderId="16" xfId="0" applyFont="1" applyBorder="1"/>
    <xf numFmtId="0" fontId="1" fillId="2" borderId="2" xfId="0" applyFont="1" applyFill="1" applyBorder="1"/>
    <xf numFmtId="0" fontId="1" fillId="2" borderId="15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3" fillId="3" borderId="2" xfId="0" applyFont="1" applyFill="1" applyBorder="1"/>
    <xf numFmtId="0" fontId="3" fillId="0" borderId="17" xfId="0" applyFont="1" applyBorder="1"/>
    <xf numFmtId="0" fontId="2" fillId="0" borderId="17" xfId="0" applyFont="1" applyBorder="1"/>
    <xf numFmtId="0" fontId="3" fillId="3" borderId="0" xfId="0" applyFont="1" applyFill="1"/>
    <xf numFmtId="0" fontId="1" fillId="2" borderId="0" xfId="0" applyFont="1" applyFill="1"/>
    <xf numFmtId="0" fontId="2" fillId="0" borderId="0" xfId="0" quotePrefix="1" applyFont="1"/>
    <xf numFmtId="0" fontId="3" fillId="3" borderId="18" xfId="0" applyFont="1" applyFill="1" applyBorder="1"/>
    <xf numFmtId="0" fontId="5" fillId="0" borderId="1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3" borderId="5" xfId="0" applyFont="1" applyFill="1" applyBorder="1"/>
    <xf numFmtId="0" fontId="3" fillId="3" borderId="22" xfId="0" applyFont="1" applyFill="1" applyBorder="1"/>
    <xf numFmtId="0" fontId="5" fillId="3" borderId="18" xfId="0" applyFont="1" applyFill="1" applyBorder="1"/>
    <xf numFmtId="0" fontId="3" fillId="0" borderId="1" xfId="0" applyFont="1" applyBorder="1"/>
    <xf numFmtId="0" fontId="5" fillId="0" borderId="17" xfId="0" applyFont="1" applyBorder="1"/>
    <xf numFmtId="0" fontId="5" fillId="0" borderId="23" xfId="0" applyFont="1" applyBorder="1"/>
  </cellXfs>
  <cellStyles count="1">
    <cellStyle name="Normal" xfId="0" builtinId="0"/>
  </cellStyles>
  <dxfs count="8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A520BC-547E-FB42-9345-C10BE812E714}" name="Table326" displayName="Table326" ref="A1:K187" totalsRowShown="0" headerRowDxfId="88" dataDxfId="87" tableBorderDxfId="86">
  <autoFilter ref="A1:K187" xr:uid="{E9D8E600-FE9F-5C45-8634-0D6DD0E667E3}"/>
  <tableColumns count="11">
    <tableColumn id="1" xr3:uid="{4E873125-B430-DF47-97E8-8718CA85A22C}" name="Requirement #" dataDxfId="85"/>
    <tableColumn id="2" xr3:uid="{F52F1F07-B543-0B47-8053-E34E2BA8895A}" name="Requirement Type" dataDxfId="84"/>
    <tableColumn id="3" xr3:uid="{FE328122-9A74-7A4B-B57D-BF029EDE1844}" name="Input 1" dataDxfId="83"/>
    <tableColumn id="4" xr3:uid="{418B51CA-8898-B442-BEE4-8304BF1CD6C0}" name="Input 2" dataDxfId="82"/>
    <tableColumn id="5" xr3:uid="{A456BF20-760C-3A48-A400-7558B03C7A73}" name="Input 3" dataDxfId="81"/>
    <tableColumn id="6" xr3:uid="{C9B3AF7B-40A5-7A4B-954F-08C72C3E8D95}" name="Input 4" dataDxfId="80"/>
    <tableColumn id="7" xr3:uid="{A6995574-966C-AA49-8F26-8C85A4851905}" name="Input 5" dataDxfId="79"/>
    <tableColumn id="8" xr3:uid="{976E4B5C-CC56-E948-9B3D-4F36230C9950}" name="Input 6" dataDxfId="78"/>
    <tableColumn id="9" xr3:uid="{D10F34FA-7944-934F-B09F-BFE9ED3EFBC2}" name="Input 7" dataDxfId="77"/>
    <tableColumn id="10" xr3:uid="{C3452EA2-25EF-274F-BAF6-358D378B7C56}" name="Input 8" dataDxfId="76"/>
    <tableColumn id="11" xr3:uid="{95D5D1CA-CE7A-B245-9964-B82D986B951F}" name="Input 9" dataDxfId="7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61601-4455-7245-A43A-6F8728C9A9FA}" name="Table3264" displayName="Table3264" ref="A1:K189" totalsRowShown="0" headerRowDxfId="32" dataDxfId="31" tableBorderDxfId="30">
  <autoFilter ref="A1:K189" xr:uid="{E9D8E600-FE9F-5C45-8634-0D6DD0E667E3}"/>
  <tableColumns count="11">
    <tableColumn id="1" xr3:uid="{C74726FD-6A14-2A4B-83BA-FBFF632779EA}" name="Requirement #" dataDxfId="29"/>
    <tableColumn id="2" xr3:uid="{7EF58860-813F-044F-B55E-477B5212A541}" name="Requirement Type" dataDxfId="28"/>
    <tableColumn id="3" xr3:uid="{A1AD929D-6EBC-BC4B-A1CB-DA17E71EDBBE}" name="Input 1" dataDxfId="27"/>
    <tableColumn id="4" xr3:uid="{C379CFB7-9C5D-8A48-9E0A-43FFDF0F09F1}" name="Input 2" dataDxfId="26"/>
    <tableColumn id="5" xr3:uid="{02BB6418-CCAD-B04D-BD8B-1C6B1BC56F8C}" name="Input 3" dataDxfId="25"/>
    <tableColumn id="6" xr3:uid="{5EBAB405-C56C-A946-A053-DCAE94F2AA3B}" name="Input 4" dataDxfId="24"/>
    <tableColumn id="7" xr3:uid="{72E64B4E-E593-3247-9355-F63A60B7BBCC}" name="Input 5" dataDxfId="23"/>
    <tableColumn id="8" xr3:uid="{F385EF4E-687E-224A-AFB9-C5E32AEEF500}" name="Input 6" dataDxfId="22"/>
    <tableColumn id="9" xr3:uid="{B99F34C2-56F8-8E45-AD7F-51204DB0002D}" name="Input 7" dataDxfId="21"/>
    <tableColumn id="10" xr3:uid="{4A43A236-23D5-C34A-9360-409BB4B776D8}" name="Input 8" dataDxfId="20"/>
    <tableColumn id="11" xr3:uid="{727827F2-9B89-E94C-B43F-AC1EBA1BFFB2}" name="Input 9" dataDxfId="1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9459C-59A6-BF4A-A7B6-FBED165ADCA1}" name="Table32" displayName="Table32" ref="A1:K200" totalsRowShown="0" headerRowDxfId="74" dataDxfId="73" tableBorderDxfId="72">
  <autoFilter ref="A1:K200" xr:uid="{E9D8E600-FE9F-5C45-8634-0D6DD0E667E3}"/>
  <tableColumns count="11">
    <tableColumn id="1" xr3:uid="{05E785CD-BA1A-0741-A8C1-F103F004A333}" name="Requirement #" dataDxfId="71"/>
    <tableColumn id="2" xr3:uid="{65ED0781-559E-BB4A-95BC-C03BEB6F0FD3}" name="Requirement Type" dataDxfId="70"/>
    <tableColumn id="3" xr3:uid="{A5BC6781-8D14-CA4A-8CC8-894BC40040CF}" name="Input 1" dataDxfId="69"/>
    <tableColumn id="4" xr3:uid="{426A3784-CB12-634C-B28C-1912BBEDA639}" name="Input 2" dataDxfId="68"/>
    <tableColumn id="5" xr3:uid="{6CB1F183-1B01-524E-A8C5-EFDF25C9EC6E}" name="Input 3" dataDxfId="67"/>
    <tableColumn id="6" xr3:uid="{018A88FF-960F-EE4D-AA98-1781DA96E06D}" name="Input 4" dataDxfId="66"/>
    <tableColumn id="7" xr3:uid="{DA0F16CA-219B-2C46-8309-C7D52FE83C6B}" name="Input 5" dataDxfId="65"/>
    <tableColumn id="8" xr3:uid="{9E89BB34-08B2-3641-902A-0475DC098911}" name="Input 6" dataDxfId="64"/>
    <tableColumn id="9" xr3:uid="{BC7719A6-3F10-F04A-ADE2-39707C03237F}" name="Input 7" dataDxfId="63"/>
    <tableColumn id="10" xr3:uid="{B83931B8-07AE-B044-9121-BD48FE4CFC72}" name="Input 8" dataDxfId="62"/>
    <tableColumn id="11" xr3:uid="{A1FD63F7-D5E1-E742-9C9A-DB3936B5DD1F}" name="Input 9" dataDxfId="61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25791-6FE9-D24F-854A-AA3A87983F7A}" name="Table323" displayName="Table323" ref="A1:K200" totalsRowShown="0" headerRowDxfId="60" dataDxfId="59" tableBorderDxfId="58">
  <autoFilter ref="A1:K200" xr:uid="{E9D8E600-FE9F-5C45-8634-0D6DD0E667E3}"/>
  <tableColumns count="11">
    <tableColumn id="1" xr3:uid="{79B11DD2-72B5-A244-9BA2-010F65DA0C71}" name="Requirement #" dataDxfId="57"/>
    <tableColumn id="2" xr3:uid="{A92F991A-F478-DF49-9573-45217E106A85}" name="Requirement Type" dataDxfId="56"/>
    <tableColumn id="3" xr3:uid="{426F7ACD-E846-6B45-8580-16C9BC5B34B5}" name="Input 1" dataDxfId="55"/>
    <tableColumn id="4" xr3:uid="{D8AF62F2-8523-1145-A81E-A1364337806B}" name="Input 2" dataDxfId="54"/>
    <tableColumn id="5" xr3:uid="{84BDE2D1-2330-CF41-AEE0-9F5842569747}" name="Input 3" dataDxfId="53"/>
    <tableColumn id="6" xr3:uid="{FE5DDCDE-FABD-E946-863B-C6BB28097755}" name="Input 4" dataDxfId="52"/>
    <tableColumn id="7" xr3:uid="{18A756AC-E9D0-6E49-A4DE-24B7F35F91C5}" name="Input 5" dataDxfId="51"/>
    <tableColumn id="8" xr3:uid="{21B200F8-22B2-0648-80FC-4820DECF0D5B}" name="Input 6" dataDxfId="50"/>
    <tableColumn id="9" xr3:uid="{CB23FB5A-7884-AD4D-B71C-6E6EDDBF2886}" name="Input 7" dataDxfId="49"/>
    <tableColumn id="10" xr3:uid="{40228DA8-61D6-1647-A4A3-EDA3C2FFFECB}" name="Input 8" dataDxfId="48"/>
    <tableColumn id="11" xr3:uid="{F6825A5F-3D00-6E44-B99F-13492A664278}" name="Input 9" dataDxfId="4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8BEFF-89A3-F74D-8EB9-3ED264AED86C}" name="Table325" displayName="Table325" ref="A1:K200" totalsRowShown="0" headerRowDxfId="46" dataDxfId="45" tableBorderDxfId="44">
  <autoFilter ref="A1:K200" xr:uid="{E9D8E600-FE9F-5C45-8634-0D6DD0E667E3}"/>
  <tableColumns count="11">
    <tableColumn id="1" xr3:uid="{8E8452FB-D4CF-024D-BED9-0263227800CC}" name="Requirement #" dataDxfId="43"/>
    <tableColumn id="2" xr3:uid="{09D97C96-66EE-464A-9495-9BC41CC97CDD}" name="Requirement Type" dataDxfId="42"/>
    <tableColumn id="3" xr3:uid="{C5833324-76B6-ED46-ABE8-8C26CB8A929F}" name="Input 1" dataDxfId="41"/>
    <tableColumn id="4" xr3:uid="{516580E8-43B2-A94E-BF87-D7CABADDFD20}" name="Input 2" dataDxfId="40"/>
    <tableColumn id="5" xr3:uid="{D7E38409-68A4-2348-A254-F99A28B3D6AA}" name="Input 3" dataDxfId="39"/>
    <tableColumn id="6" xr3:uid="{0DA05089-DF15-DA46-B1A0-0DE642F3AB90}" name="Input 4" dataDxfId="38"/>
    <tableColumn id="7" xr3:uid="{2CCEF327-B870-1046-92B1-14A71A3CA901}" name="Input 5" dataDxfId="37"/>
    <tableColumn id="8" xr3:uid="{C8111718-8D74-F54C-A527-0FADE5F57B9B}" name="Input 6" dataDxfId="36"/>
    <tableColumn id="9" xr3:uid="{33F897C6-7671-8849-BBAE-D1E7CF3CB1B0}" name="Input 7" dataDxfId="35"/>
    <tableColumn id="10" xr3:uid="{91964FF9-90FD-8646-9211-E7DF64E561A3}" name="Input 8" dataDxfId="34"/>
    <tableColumn id="11" xr3:uid="{C84CDF7D-F0F0-D348-8A57-B96AD3A17DB7}" name="Input 9" dataDxfId="3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zoomScale="113" workbookViewId="0">
      <selection activeCell="A3" sqref="A3:H4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22" t="s">
        <v>12</v>
      </c>
      <c r="B1" s="23" t="s">
        <v>13</v>
      </c>
      <c r="C1" s="23" t="s">
        <v>1</v>
      </c>
      <c r="D1" s="23" t="s">
        <v>14</v>
      </c>
      <c r="E1" s="23" t="s">
        <v>15</v>
      </c>
      <c r="F1" s="23" t="s">
        <v>0</v>
      </c>
      <c r="G1" s="23" t="s">
        <v>16</v>
      </c>
      <c r="H1" s="23" t="s">
        <v>17</v>
      </c>
      <c r="I1" s="23" t="s">
        <v>19</v>
      </c>
      <c r="J1" s="24"/>
    </row>
    <row r="2" spans="1:10" x14ac:dyDescent="0.25">
      <c r="A2" s="5"/>
      <c r="B2" s="3"/>
      <c r="C2" s="3"/>
      <c r="D2" s="3"/>
      <c r="E2" s="6"/>
      <c r="F2" s="3"/>
      <c r="G2" s="3"/>
      <c r="H2" s="3"/>
      <c r="I2" s="25"/>
      <c r="J2" s="3"/>
    </row>
    <row r="3" spans="1:10" x14ac:dyDescent="0.25">
      <c r="A3" s="26" t="s">
        <v>33</v>
      </c>
      <c r="B3" s="27" t="s">
        <v>13</v>
      </c>
      <c r="C3" s="27" t="s">
        <v>1</v>
      </c>
      <c r="D3" s="27" t="s">
        <v>15</v>
      </c>
      <c r="E3" s="27" t="s">
        <v>0</v>
      </c>
      <c r="F3" s="27" t="s">
        <v>16</v>
      </c>
      <c r="G3" s="27" t="s">
        <v>34</v>
      </c>
      <c r="H3" s="27" t="s">
        <v>19</v>
      </c>
      <c r="I3" s="27"/>
      <c r="J3" s="24"/>
    </row>
    <row r="4" spans="1:10" x14ac:dyDescent="0.25">
      <c r="A4" s="5"/>
      <c r="B4" s="3"/>
      <c r="C4" s="3"/>
      <c r="D4" s="3"/>
      <c r="E4" s="6"/>
      <c r="F4" s="3"/>
      <c r="G4" s="3"/>
      <c r="H4" s="3"/>
      <c r="I4" s="25"/>
      <c r="J4" s="3"/>
    </row>
    <row r="5" spans="1:10" x14ac:dyDescent="0.25">
      <c r="A5" s="26" t="s">
        <v>20</v>
      </c>
      <c r="B5" s="27" t="s">
        <v>1</v>
      </c>
      <c r="C5" s="27" t="s">
        <v>15</v>
      </c>
      <c r="D5" s="27" t="s">
        <v>21</v>
      </c>
      <c r="E5" s="27" t="s">
        <v>19</v>
      </c>
      <c r="F5" s="27"/>
      <c r="G5" s="27"/>
      <c r="H5" s="27"/>
      <c r="I5" s="27"/>
      <c r="J5" s="24"/>
    </row>
    <row r="6" spans="1:10" x14ac:dyDescent="0.25">
      <c r="A6" s="5"/>
      <c r="B6" s="3"/>
      <c r="C6" s="3"/>
      <c r="D6" s="3"/>
      <c r="E6" s="6"/>
      <c r="F6" s="3"/>
      <c r="G6" s="3"/>
      <c r="H6" s="3"/>
      <c r="I6" s="25"/>
      <c r="J6" s="3"/>
    </row>
    <row r="7" spans="1:10" s="30" customFormat="1" x14ac:dyDescent="0.25">
      <c r="A7" s="28" t="s">
        <v>22</v>
      </c>
      <c r="B7" s="29" t="s">
        <v>13</v>
      </c>
      <c r="C7" s="29" t="s">
        <v>1</v>
      </c>
      <c r="D7" s="29" t="s">
        <v>23</v>
      </c>
      <c r="E7" s="29" t="s">
        <v>24</v>
      </c>
      <c r="F7" s="29" t="s">
        <v>14</v>
      </c>
      <c r="G7" s="29" t="s">
        <v>25</v>
      </c>
      <c r="H7" s="29" t="s">
        <v>26</v>
      </c>
      <c r="I7" s="29" t="s">
        <v>27</v>
      </c>
      <c r="J7" s="29" t="s">
        <v>19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30" customFormat="1" x14ac:dyDescent="0.25">
      <c r="A9" s="28" t="s">
        <v>28</v>
      </c>
      <c r="B9" s="29" t="s">
        <v>13</v>
      </c>
      <c r="C9" s="29" t="s">
        <v>1</v>
      </c>
      <c r="D9" s="29" t="s">
        <v>23</v>
      </c>
      <c r="E9" s="29" t="s">
        <v>24</v>
      </c>
      <c r="F9" s="29" t="s">
        <v>14</v>
      </c>
      <c r="G9" s="29" t="s">
        <v>25</v>
      </c>
      <c r="H9" s="29" t="s">
        <v>26</v>
      </c>
      <c r="I9" s="29" t="s">
        <v>27</v>
      </c>
      <c r="J9" s="29" t="s">
        <v>19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30" customFormat="1" x14ac:dyDescent="0.25">
      <c r="A11" s="28" t="s">
        <v>29</v>
      </c>
      <c r="B11" s="29" t="s">
        <v>13</v>
      </c>
      <c r="C11" s="29" t="s">
        <v>1</v>
      </c>
      <c r="D11" s="29" t="s">
        <v>23</v>
      </c>
      <c r="E11" s="29" t="s">
        <v>24</v>
      </c>
      <c r="F11" s="29" t="s">
        <v>14</v>
      </c>
      <c r="G11" s="29" t="s">
        <v>25</v>
      </c>
      <c r="H11" s="29" t="s">
        <v>26</v>
      </c>
      <c r="I11" s="29" t="s">
        <v>27</v>
      </c>
      <c r="J11" s="29" t="s">
        <v>19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30" customFormat="1" x14ac:dyDescent="0.25">
      <c r="A13" s="28" t="s">
        <v>31</v>
      </c>
      <c r="B13" s="29" t="s">
        <v>13</v>
      </c>
      <c r="C13" s="29" t="s">
        <v>1</v>
      </c>
      <c r="D13" s="29" t="s">
        <v>23</v>
      </c>
      <c r="E13" s="29" t="s">
        <v>24</v>
      </c>
      <c r="F13" s="29" t="s">
        <v>14</v>
      </c>
      <c r="G13" s="29" t="s">
        <v>25</v>
      </c>
      <c r="H13" s="29" t="s">
        <v>26</v>
      </c>
      <c r="I13" s="29" t="s">
        <v>27</v>
      </c>
      <c r="J13" s="29" t="s">
        <v>19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39</v>
      </c>
      <c r="B15" s="1" t="s">
        <v>13</v>
      </c>
      <c r="C15" s="1" t="s">
        <v>40</v>
      </c>
      <c r="D15" s="1" t="s">
        <v>41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18" priority="1">
      <formula>MOD(ROW(),2)=0</formula>
    </cfRule>
  </conditionalFormatting>
  <conditionalFormatting sqref="B1:J4 B7:J14">
    <cfRule type="expression" dxfId="17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EE0F-8787-EE44-845F-537DCD3910B2}">
  <dimension ref="A1:K187"/>
  <sheetViews>
    <sheetView zoomScale="85" zoomScaleNormal="111" workbookViewId="0">
      <selection activeCell="C11" sqref="C11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x14ac:dyDescent="0.25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1">
        <v>1</v>
      </c>
      <c r="B2" s="34" t="s">
        <v>20</v>
      </c>
      <c r="C2" s="34" t="s">
        <v>1</v>
      </c>
      <c r="D2" s="34" t="s">
        <v>15</v>
      </c>
      <c r="E2" s="34" t="s">
        <v>21</v>
      </c>
      <c r="F2" s="34" t="s">
        <v>19</v>
      </c>
      <c r="K2" s="17"/>
    </row>
    <row r="3" spans="1:11" x14ac:dyDescent="0.25">
      <c r="A3" s="1"/>
      <c r="B3" s="10"/>
      <c r="C3" s="42">
        <v>8000</v>
      </c>
      <c r="D3" s="42">
        <v>2</v>
      </c>
      <c r="E3" s="42">
        <v>30.414200000000001</v>
      </c>
      <c r="F3" s="42" t="s">
        <v>44</v>
      </c>
      <c r="K3" s="17"/>
    </row>
    <row r="4" spans="1:11" x14ac:dyDescent="0.25">
      <c r="A4" s="5">
        <v>2</v>
      </c>
      <c r="B4" s="28" t="s">
        <v>31</v>
      </c>
      <c r="C4" s="29" t="s">
        <v>13</v>
      </c>
      <c r="D4" s="29" t="s">
        <v>1</v>
      </c>
      <c r="E4" s="29" t="s">
        <v>23</v>
      </c>
      <c r="F4" s="29" t="s">
        <v>24</v>
      </c>
      <c r="G4" s="29" t="s">
        <v>14</v>
      </c>
      <c r="H4" s="29" t="s">
        <v>25</v>
      </c>
      <c r="I4" s="29" t="s">
        <v>26</v>
      </c>
      <c r="J4" s="29" t="s">
        <v>27</v>
      </c>
      <c r="K4" s="29" t="s">
        <v>19</v>
      </c>
    </row>
    <row r="5" spans="1:11" x14ac:dyDescent="0.25">
      <c r="A5" s="4"/>
      <c r="B5" s="5"/>
      <c r="C5" s="3">
        <v>0.85199999999999998</v>
      </c>
      <c r="D5" s="3">
        <v>15000</v>
      </c>
      <c r="E5" s="3">
        <v>0.20810000000000001</v>
      </c>
      <c r="F5" s="3">
        <v>1</v>
      </c>
      <c r="G5" s="44" t="s">
        <v>32</v>
      </c>
      <c r="H5" s="3">
        <v>0</v>
      </c>
      <c r="I5" s="3">
        <v>0</v>
      </c>
      <c r="J5" s="3">
        <v>0</v>
      </c>
      <c r="K5" s="3" t="s">
        <v>43</v>
      </c>
    </row>
    <row r="6" spans="1:11" x14ac:dyDescent="0.25">
      <c r="A6" s="1">
        <v>3</v>
      </c>
      <c r="B6" s="35" t="s">
        <v>12</v>
      </c>
      <c r="C6" s="35" t="s">
        <v>13</v>
      </c>
      <c r="D6" s="35" t="s">
        <v>1</v>
      </c>
      <c r="E6" s="35" t="s">
        <v>14</v>
      </c>
      <c r="F6" s="35" t="s">
        <v>15</v>
      </c>
      <c r="G6" s="35" t="s">
        <v>0</v>
      </c>
      <c r="H6" s="35" t="s">
        <v>16</v>
      </c>
      <c r="I6" s="35" t="s">
        <v>17</v>
      </c>
      <c r="J6" s="35" t="s">
        <v>19</v>
      </c>
      <c r="K6" s="17"/>
    </row>
    <row r="7" spans="1:11" x14ac:dyDescent="0.25">
      <c r="A7" s="1"/>
      <c r="B7" s="1"/>
      <c r="C7" s="2">
        <v>0.85199999999999998</v>
      </c>
      <c r="D7" s="2">
        <v>8000</v>
      </c>
      <c r="E7" s="43" t="s">
        <v>32</v>
      </c>
      <c r="F7" s="36">
        <v>2</v>
      </c>
      <c r="G7" s="2">
        <v>0.2</v>
      </c>
      <c r="H7" s="2">
        <v>0</v>
      </c>
      <c r="I7" s="2">
        <v>400</v>
      </c>
      <c r="J7" s="46" t="s">
        <v>45</v>
      </c>
      <c r="K7" s="17"/>
    </row>
    <row r="8" spans="1:11" x14ac:dyDescent="0.25">
      <c r="A8" s="33"/>
      <c r="B8" s="31"/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25">
      <c r="A9" s="4"/>
      <c r="B9" s="32"/>
      <c r="C9" s="38"/>
      <c r="D9" s="38"/>
      <c r="E9" s="38"/>
      <c r="F9" s="38"/>
      <c r="G9" s="45"/>
      <c r="H9" s="38"/>
      <c r="I9" s="38"/>
      <c r="J9" s="38"/>
      <c r="K9" s="38"/>
    </row>
    <row r="10" spans="1:11" x14ac:dyDescent="0.25">
      <c r="A10" s="4"/>
      <c r="B10" s="3"/>
      <c r="C10" s="3"/>
      <c r="D10" s="3"/>
      <c r="E10" s="3"/>
      <c r="F10" s="3"/>
      <c r="G10" s="3"/>
      <c r="H10" s="3"/>
      <c r="I10" s="14"/>
      <c r="J10" s="3"/>
      <c r="K10" s="17"/>
    </row>
    <row r="11" spans="1:11" x14ac:dyDescent="0.25">
      <c r="A11" s="4"/>
      <c r="B11" s="3"/>
      <c r="C11" s="3"/>
      <c r="D11" s="3"/>
      <c r="E11" s="3"/>
      <c r="F11" s="3"/>
      <c r="G11" s="3"/>
      <c r="H11" s="3"/>
      <c r="I11" s="14"/>
      <c r="J11" s="3"/>
      <c r="K11" s="17"/>
    </row>
    <row r="12" spans="1:11" x14ac:dyDescent="0.25">
      <c r="A12" s="4"/>
      <c r="B12" s="3"/>
      <c r="C12" s="3"/>
      <c r="D12" s="3"/>
      <c r="E12" s="3"/>
      <c r="F12" s="3"/>
      <c r="G12" s="3"/>
      <c r="H12" s="3"/>
      <c r="I12" s="14"/>
      <c r="J12" s="3"/>
      <c r="K12" s="17"/>
    </row>
    <row r="13" spans="1:11" x14ac:dyDescent="0.25">
      <c r="A13" s="4"/>
      <c r="B13" s="3"/>
      <c r="C13" s="3"/>
      <c r="D13" s="3"/>
      <c r="E13" s="3"/>
      <c r="F13" s="3"/>
      <c r="G13" s="3"/>
      <c r="H13" s="3"/>
      <c r="I13" s="14"/>
      <c r="J13" s="3"/>
      <c r="K13" s="17"/>
    </row>
    <row r="14" spans="1:11" x14ac:dyDescent="0.25">
      <c r="A14" s="4"/>
      <c r="B14" s="3"/>
      <c r="C14" s="3"/>
      <c r="D14" s="3"/>
      <c r="E14" s="3"/>
      <c r="F14" s="3"/>
      <c r="G14" s="3"/>
      <c r="H14" s="3"/>
      <c r="I14" s="14"/>
      <c r="J14" s="3"/>
      <c r="K14" s="17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4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4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ht="19" thickBot="1" x14ac:dyDescent="0.3">
      <c r="A187" s="12"/>
      <c r="B187" s="13"/>
      <c r="C187" s="13"/>
      <c r="D187" s="13"/>
      <c r="E187" s="13"/>
      <c r="F187" s="13"/>
      <c r="G187" s="13"/>
      <c r="H187" s="13"/>
      <c r="I187" s="15"/>
      <c r="J187" s="3"/>
      <c r="K187" s="18"/>
    </row>
  </sheetData>
  <conditionalFormatting sqref="A1:B1 D1:XFD1 G2:K3 L2:XFD1048576 K6:K7 A9 A10:K14 A15:B15 D15:K15 A16:K1048576">
    <cfRule type="expression" dxfId="16" priority="5">
      <formula>MOD(ROW(),2)=0</formula>
    </cfRule>
  </conditionalFormatting>
  <conditionalFormatting sqref="C6:J7">
    <cfRule type="expression" dxfId="15" priority="2">
      <formula>MOD(ROW(),2)=0</formula>
    </cfRule>
  </conditionalFormatting>
  <conditionalFormatting sqref="C4:K5">
    <cfRule type="expression" dxfId="14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2B36-1661-4F4B-9766-59992C87FFB0}">
  <dimension ref="A1:K189"/>
  <sheetViews>
    <sheetView tabSelected="1" zoomScale="85" zoomScaleNormal="111" workbookViewId="0">
      <selection activeCell="J17" sqref="J17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4">
        <v>1</v>
      </c>
      <c r="B2" s="47" t="s">
        <v>12</v>
      </c>
      <c r="C2" s="48" t="s">
        <v>13</v>
      </c>
      <c r="D2" s="48" t="s">
        <v>1</v>
      </c>
      <c r="E2" s="48" t="s">
        <v>14</v>
      </c>
      <c r="F2" s="48" t="s">
        <v>15</v>
      </c>
      <c r="G2" s="48" t="s">
        <v>0</v>
      </c>
      <c r="H2" s="48" t="s">
        <v>16</v>
      </c>
      <c r="I2" s="48" t="s">
        <v>17</v>
      </c>
      <c r="J2" s="48" t="s">
        <v>19</v>
      </c>
      <c r="K2" s="49"/>
    </row>
    <row r="3" spans="1:11" x14ac:dyDescent="0.25">
      <c r="A3" s="4"/>
      <c r="B3" s="51"/>
      <c r="C3" s="38">
        <v>1</v>
      </c>
      <c r="D3" s="38">
        <v>8000</v>
      </c>
      <c r="E3" s="38" t="s">
        <v>32</v>
      </c>
      <c r="F3" s="38">
        <v>2</v>
      </c>
      <c r="G3" s="38">
        <v>2.5000000000000001E-2</v>
      </c>
      <c r="H3" s="38">
        <v>1.5E-3</v>
      </c>
      <c r="I3" s="38">
        <v>400</v>
      </c>
      <c r="J3" s="52" t="s">
        <v>48</v>
      </c>
      <c r="K3" s="50"/>
    </row>
    <row r="4" spans="1:11" x14ac:dyDescent="0.25">
      <c r="A4" s="1">
        <v>2</v>
      </c>
      <c r="B4" s="34" t="s">
        <v>20</v>
      </c>
      <c r="C4" s="34" t="s">
        <v>1</v>
      </c>
      <c r="D4" s="34" t="s">
        <v>15</v>
      </c>
      <c r="E4" s="34" t="s">
        <v>21</v>
      </c>
      <c r="F4" s="34" t="s">
        <v>19</v>
      </c>
      <c r="K4" s="17"/>
    </row>
    <row r="5" spans="1:11" x14ac:dyDescent="0.25">
      <c r="A5" s="1"/>
      <c r="B5" s="10"/>
      <c r="C5" s="42">
        <v>8000</v>
      </c>
      <c r="D5" s="42">
        <v>2</v>
      </c>
      <c r="E5" s="42">
        <v>30.414200000000001</v>
      </c>
      <c r="F5" s="42" t="s">
        <v>46</v>
      </c>
      <c r="K5" s="17"/>
    </row>
    <row r="6" spans="1:11" x14ac:dyDescent="0.25">
      <c r="A6" s="5">
        <v>3</v>
      </c>
      <c r="B6" s="28" t="s">
        <v>31</v>
      </c>
      <c r="C6" s="29" t="s">
        <v>13</v>
      </c>
      <c r="D6" s="29" t="s">
        <v>1</v>
      </c>
      <c r="E6" s="29" t="s">
        <v>23</v>
      </c>
      <c r="F6" s="29" t="s">
        <v>24</v>
      </c>
      <c r="G6" s="29" t="s">
        <v>14</v>
      </c>
      <c r="H6" s="29" t="s">
        <v>25</v>
      </c>
      <c r="I6" s="29" t="s">
        <v>26</v>
      </c>
      <c r="J6" s="29" t="s">
        <v>27</v>
      </c>
      <c r="K6" s="29" t="s">
        <v>19</v>
      </c>
    </row>
    <row r="7" spans="1:11" x14ac:dyDescent="0.25">
      <c r="A7" s="4"/>
      <c r="B7" s="5"/>
      <c r="C7" s="3">
        <v>1</v>
      </c>
      <c r="D7" s="3">
        <v>15000</v>
      </c>
      <c r="E7" s="3">
        <v>0.2</v>
      </c>
      <c r="F7" s="3">
        <v>1</v>
      </c>
      <c r="G7" s="44" t="s">
        <v>32</v>
      </c>
      <c r="H7" s="3">
        <v>0</v>
      </c>
      <c r="I7" s="3">
        <v>0</v>
      </c>
      <c r="J7" s="3">
        <v>1.5E-3</v>
      </c>
      <c r="K7" s="3" t="s">
        <v>43</v>
      </c>
    </row>
    <row r="8" spans="1:11" x14ac:dyDescent="0.25">
      <c r="A8" s="1">
        <v>4</v>
      </c>
      <c r="B8" s="26" t="s">
        <v>33</v>
      </c>
      <c r="C8" s="27" t="s">
        <v>13</v>
      </c>
      <c r="D8" s="27" t="s">
        <v>1</v>
      </c>
      <c r="E8" s="27" t="s">
        <v>15</v>
      </c>
      <c r="F8" s="27" t="s">
        <v>0</v>
      </c>
      <c r="G8" s="27" t="s">
        <v>16</v>
      </c>
      <c r="H8" s="27" t="s">
        <v>34</v>
      </c>
      <c r="I8" s="27" t="s">
        <v>19</v>
      </c>
      <c r="J8" s="35"/>
      <c r="K8" s="17"/>
    </row>
    <row r="9" spans="1:11" x14ac:dyDescent="0.25">
      <c r="A9" s="1"/>
      <c r="B9" s="5"/>
      <c r="C9" s="3">
        <v>1</v>
      </c>
      <c r="D9" s="3">
        <v>8000</v>
      </c>
      <c r="E9" s="3">
        <v>2</v>
      </c>
      <c r="F9" s="6">
        <v>0.4</v>
      </c>
      <c r="G9" s="3">
        <v>1.5E-3</v>
      </c>
      <c r="H9" s="3">
        <v>400</v>
      </c>
      <c r="I9" s="3" t="s">
        <v>47</v>
      </c>
      <c r="J9" s="46"/>
      <c r="K9" s="17"/>
    </row>
    <row r="10" spans="1:11" x14ac:dyDescent="0.25">
      <c r="A10" s="33"/>
      <c r="B10" s="31"/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25">
      <c r="A11" s="4"/>
      <c r="B11" s="32"/>
      <c r="C11" s="38"/>
      <c r="D11" s="38"/>
      <c r="E11" s="38"/>
      <c r="F11" s="38"/>
      <c r="G11" s="45"/>
      <c r="H11" s="38"/>
      <c r="I11" s="38"/>
      <c r="J11" s="38"/>
      <c r="K11" s="38"/>
    </row>
    <row r="12" spans="1:11" x14ac:dyDescent="0.25">
      <c r="A12" s="4"/>
      <c r="B12" s="3"/>
      <c r="C12" s="3"/>
      <c r="D12" s="3"/>
      <c r="E12" s="3"/>
      <c r="F12" s="3"/>
      <c r="G12" s="3"/>
      <c r="H12" s="3"/>
      <c r="I12" s="14"/>
      <c r="J12" s="3"/>
      <c r="K12" s="17"/>
    </row>
    <row r="13" spans="1:11" x14ac:dyDescent="0.25">
      <c r="A13" s="4"/>
      <c r="B13" s="3"/>
      <c r="C13" s="3"/>
      <c r="D13" s="3"/>
      <c r="E13" s="3"/>
      <c r="F13" s="3"/>
      <c r="G13" s="3"/>
      <c r="H13" s="3"/>
      <c r="I13" s="14"/>
      <c r="J13" s="3"/>
      <c r="K13" s="17"/>
    </row>
    <row r="14" spans="1:11" x14ac:dyDescent="0.25">
      <c r="A14" s="4"/>
      <c r="B14" s="3"/>
      <c r="C14" s="3"/>
      <c r="D14" s="3"/>
      <c r="E14" s="3"/>
      <c r="F14" s="3"/>
      <c r="G14" s="3"/>
      <c r="H14" s="3"/>
      <c r="I14" s="14"/>
      <c r="J14" s="3"/>
      <c r="K14" s="17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4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4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ht="19" thickBot="1" x14ac:dyDescent="0.3">
      <c r="A189" s="12"/>
      <c r="B189" s="13"/>
      <c r="C189" s="13"/>
      <c r="D189" s="13"/>
      <c r="E189" s="13"/>
      <c r="F189" s="13"/>
      <c r="G189" s="13"/>
      <c r="H189" s="13"/>
      <c r="I189" s="15"/>
      <c r="J189" s="3"/>
      <c r="K189" s="18"/>
    </row>
  </sheetData>
  <conditionalFormatting sqref="D1:XFD1 G4:K5 L2:XFD1048576 K8:K9 A11 A12:K16 A17:B17 D17:K17 A18:K1048576 A1:B1 A2:A3">
    <cfRule type="expression" dxfId="13" priority="4">
      <formula>MOD(ROW(),2)=0</formula>
    </cfRule>
  </conditionalFormatting>
  <conditionalFormatting sqref="J8:J9">
    <cfRule type="expression" dxfId="12" priority="3">
      <formula>MOD(ROW(),2)=0</formula>
    </cfRule>
  </conditionalFormatting>
  <conditionalFormatting sqref="C6:K7">
    <cfRule type="expression" dxfId="11" priority="2">
      <formula>MOD(ROW(),2)=0</formula>
    </cfRule>
  </conditionalFormatting>
  <conditionalFormatting sqref="C8:I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E99C-C8B6-6643-837C-0DA39C79301D}">
  <dimension ref="A1:K200"/>
  <sheetViews>
    <sheetView zoomScale="85" zoomScaleNormal="111" workbookViewId="0">
      <selection activeCell="A2" sqref="A2:B14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32</v>
      </c>
      <c r="F3" s="3">
        <v>2</v>
      </c>
      <c r="G3" s="3">
        <v>0.02</v>
      </c>
      <c r="H3" s="3">
        <v>0</v>
      </c>
      <c r="I3" s="14">
        <v>2000</v>
      </c>
      <c r="J3" s="3" t="s">
        <v>38</v>
      </c>
      <c r="K3" s="17"/>
    </row>
    <row r="4" spans="1:11" x14ac:dyDescent="0.25">
      <c r="A4" s="5">
        <v>2</v>
      </c>
      <c r="B4" s="21" t="s">
        <v>33</v>
      </c>
      <c r="C4" s="21" t="s">
        <v>13</v>
      </c>
      <c r="D4" s="21" t="s">
        <v>1</v>
      </c>
      <c r="E4" s="21" t="s">
        <v>15</v>
      </c>
      <c r="F4" s="21" t="s">
        <v>0</v>
      </c>
      <c r="G4" s="21" t="s">
        <v>16</v>
      </c>
      <c r="H4" s="21" t="s">
        <v>34</v>
      </c>
      <c r="I4" s="2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3">
        <v>2.2000000000000002</v>
      </c>
      <c r="F5" s="3">
        <v>0.2</v>
      </c>
      <c r="G5" s="3">
        <v>0</v>
      </c>
      <c r="H5" s="3">
        <v>1000</v>
      </c>
      <c r="I5" s="3" t="s">
        <v>37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ht="19" thickBot="1" x14ac:dyDescent="0.3">
      <c r="A7" s="5"/>
      <c r="B7" s="3"/>
      <c r="C7" s="3">
        <v>0</v>
      </c>
      <c r="D7" s="3">
        <v>2</v>
      </c>
      <c r="E7" s="3">
        <v>55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8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ht="19" thickBot="1" x14ac:dyDescent="0.3">
      <c r="A9" s="5"/>
      <c r="B9" s="3"/>
      <c r="C9" s="3">
        <v>0.85199999999999998</v>
      </c>
      <c r="D9" s="3">
        <v>15000</v>
      </c>
      <c r="E9" s="3">
        <v>0.18</v>
      </c>
      <c r="F9" s="3">
        <v>1</v>
      </c>
      <c r="G9" s="3" t="s">
        <v>32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8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13000</v>
      </c>
      <c r="E11" s="3">
        <v>0.18</v>
      </c>
      <c r="F11" s="3">
        <v>1</v>
      </c>
      <c r="G11" s="3" t="s">
        <v>32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8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ht="19" thickBot="1" x14ac:dyDescent="0.3">
      <c r="A13" s="5"/>
      <c r="B13" s="3"/>
      <c r="C13" s="3">
        <v>0.85199999999999998</v>
      </c>
      <c r="D13" s="3">
        <v>0</v>
      </c>
      <c r="E13" s="3">
        <v>0.18</v>
      </c>
      <c r="F13" s="3">
        <v>1.5</v>
      </c>
      <c r="G13" s="3" t="s">
        <v>32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8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ht="19" thickBot="1" x14ac:dyDescent="0.3">
      <c r="A15" s="5"/>
      <c r="B15" s="3"/>
      <c r="C15" s="3">
        <v>0.85199999999999998</v>
      </c>
      <c r="D15" s="3">
        <v>10000</v>
      </c>
      <c r="E15" s="3">
        <v>0.2</v>
      </c>
      <c r="F15" s="3">
        <v>1</v>
      </c>
      <c r="G15" s="3" t="s">
        <v>32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3 J4:XFD4 K5:XFD5 B6:XFD13 L14:XFD14 F15:XFD21 B16:E21 A22:XFD1048576">
    <cfRule type="expression" dxfId="10" priority="3">
      <formula>MOD(ROW(),2)=0</formula>
    </cfRule>
  </conditionalFormatting>
  <conditionalFormatting sqref="B4:I5">
    <cfRule type="expression" dxfId="9" priority="1">
      <formula>MOD(ROW(),2)=0</formula>
    </cfRule>
  </conditionalFormatting>
  <conditionalFormatting sqref="D14">
    <cfRule type="expression" dxfId="8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185F-EB86-B542-8B5B-7CCC7BD8C54D}">
  <dimension ref="A1:K200"/>
  <sheetViews>
    <sheetView zoomScale="106" zoomScaleNormal="111" workbookViewId="0">
      <selection activeCell="E3" sqref="E3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4">
        <v>10000</v>
      </c>
      <c r="J3" s="3" t="s">
        <v>35</v>
      </c>
      <c r="K3" s="17"/>
    </row>
    <row r="4" spans="1:11" x14ac:dyDescent="0.25">
      <c r="A4" s="5">
        <v>2</v>
      </c>
      <c r="B4" s="1" t="s">
        <v>33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34</v>
      </c>
      <c r="I4" s="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4" t="s">
        <v>36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x14ac:dyDescent="0.25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x14ac:dyDescent="0.25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x14ac:dyDescent="0.25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1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x14ac:dyDescent="0.25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1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x14ac:dyDescent="0.25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4 C5:XFD5 B6:XFD13 L14:XFD14 F15:XFD21 B16:E21 A22:XFD1048576">
    <cfRule type="expression" dxfId="7" priority="3">
      <formula>MOD(ROW(),2)=0</formula>
    </cfRule>
  </conditionalFormatting>
  <conditionalFormatting sqref="B5">
    <cfRule type="expression" dxfId="6" priority="2">
      <formula>MOD(ROW(),2)=0</formula>
    </cfRule>
  </conditionalFormatting>
  <conditionalFormatting sqref="D14">
    <cfRule type="expression" dxfId="5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ABD-3C43-6F40-828B-6CE36050BFAD}">
  <dimension ref="A1:K200"/>
  <sheetViews>
    <sheetView zoomScale="75" zoomScaleNormal="111" workbookViewId="0">
      <selection activeCell="F18" sqref="F18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1" t="s">
        <v>39</v>
      </c>
      <c r="C2" s="1" t="s">
        <v>13</v>
      </c>
      <c r="D2" s="1" t="s">
        <v>40</v>
      </c>
      <c r="E2" s="1" t="s">
        <v>41</v>
      </c>
      <c r="F2" s="1" t="s">
        <v>19</v>
      </c>
      <c r="G2" s="1"/>
      <c r="H2" s="1"/>
      <c r="I2" s="1"/>
    </row>
    <row r="3" spans="1:11" x14ac:dyDescent="0.25">
      <c r="A3" s="5"/>
      <c r="B3" s="14"/>
      <c r="C3" s="2">
        <v>1</v>
      </c>
      <c r="D3" s="2">
        <v>5000</v>
      </c>
      <c r="E3" s="36">
        <v>10</v>
      </c>
      <c r="F3" s="2" t="s">
        <v>42</v>
      </c>
    </row>
    <row r="4" spans="1:11" x14ac:dyDescent="0.25">
      <c r="A4" s="5">
        <v>3</v>
      </c>
      <c r="B4" s="1" t="s">
        <v>20</v>
      </c>
      <c r="C4" s="1" t="s">
        <v>1</v>
      </c>
      <c r="D4" s="1" t="s">
        <v>15</v>
      </c>
      <c r="E4" s="1" t="s">
        <v>21</v>
      </c>
      <c r="F4" s="2" t="s">
        <v>19</v>
      </c>
    </row>
    <row r="5" spans="1:11" x14ac:dyDescent="0.25">
      <c r="A5" s="5"/>
      <c r="B5" s="14"/>
      <c r="C5" s="2">
        <v>0</v>
      </c>
      <c r="D5" s="2">
        <v>2</v>
      </c>
      <c r="E5" s="2">
        <v>160</v>
      </c>
      <c r="F5" s="2" t="s">
        <v>20</v>
      </c>
    </row>
    <row r="6" spans="1:11" x14ac:dyDescent="0.25">
      <c r="A6" s="5">
        <v>4</v>
      </c>
      <c r="B6" s="1" t="s">
        <v>22</v>
      </c>
      <c r="C6" s="1" t="s">
        <v>13</v>
      </c>
      <c r="D6" s="1" t="s">
        <v>1</v>
      </c>
      <c r="E6" s="1" t="s">
        <v>23</v>
      </c>
      <c r="F6" s="1" t="s">
        <v>24</v>
      </c>
      <c r="G6" s="1" t="s">
        <v>14</v>
      </c>
      <c r="H6" s="1" t="s">
        <v>25</v>
      </c>
      <c r="I6" s="1" t="s">
        <v>26</v>
      </c>
      <c r="J6" s="1" t="s">
        <v>27</v>
      </c>
      <c r="K6" s="2" t="s">
        <v>19</v>
      </c>
    </row>
    <row r="7" spans="1:11" x14ac:dyDescent="0.25">
      <c r="A7" s="5"/>
      <c r="B7" s="14"/>
      <c r="C7" s="2">
        <v>0.85199999999999998</v>
      </c>
      <c r="D7" s="2">
        <v>22500</v>
      </c>
      <c r="E7" s="2">
        <v>0.3</v>
      </c>
      <c r="F7" s="2">
        <v>1</v>
      </c>
      <c r="G7" s="2" t="s">
        <v>18</v>
      </c>
      <c r="H7" s="2">
        <v>0</v>
      </c>
      <c r="I7" s="2">
        <v>0</v>
      </c>
      <c r="J7" s="2">
        <v>0</v>
      </c>
      <c r="K7" s="2" t="s">
        <v>22</v>
      </c>
    </row>
    <row r="8" spans="1:11" x14ac:dyDescent="0.25">
      <c r="A8" s="5">
        <v>5</v>
      </c>
      <c r="B8" s="1" t="s">
        <v>28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" t="s">
        <v>27</v>
      </c>
      <c r="K8" s="1" t="s">
        <v>19</v>
      </c>
    </row>
    <row r="9" spans="1:11" x14ac:dyDescent="0.25">
      <c r="A9" s="5"/>
      <c r="B9" s="14"/>
      <c r="C9" s="2">
        <v>0.85199999999999998</v>
      </c>
      <c r="D9" s="2">
        <v>20000</v>
      </c>
      <c r="E9" s="2">
        <v>0.3</v>
      </c>
      <c r="F9" s="2">
        <v>1</v>
      </c>
      <c r="G9" s="2" t="s">
        <v>18</v>
      </c>
      <c r="H9" s="2">
        <v>1.67</v>
      </c>
      <c r="I9" s="2">
        <v>0</v>
      </c>
      <c r="J9" s="2">
        <v>0</v>
      </c>
      <c r="K9" s="2" t="s">
        <v>28</v>
      </c>
    </row>
    <row r="10" spans="1:11" x14ac:dyDescent="0.25">
      <c r="A10" s="5">
        <v>6</v>
      </c>
      <c r="B10" s="1" t="s">
        <v>29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" t="s">
        <v>27</v>
      </c>
      <c r="K10" s="1" t="s">
        <v>19</v>
      </c>
    </row>
    <row r="11" spans="1:11" x14ac:dyDescent="0.25">
      <c r="A11" s="5"/>
      <c r="B11" s="14"/>
      <c r="C11" s="2">
        <v>0.85199999999999998</v>
      </c>
      <c r="D11" s="2">
        <v>5000</v>
      </c>
      <c r="E11" s="2">
        <v>0.3</v>
      </c>
      <c r="F11" s="2">
        <v>1.5</v>
      </c>
      <c r="G11" s="2" t="s">
        <v>18</v>
      </c>
      <c r="H11" s="2">
        <v>0</v>
      </c>
      <c r="I11" s="2">
        <v>0</v>
      </c>
      <c r="J11" s="2">
        <v>0</v>
      </c>
      <c r="K11" s="2" t="s">
        <v>29</v>
      </c>
    </row>
    <row r="12" spans="1:11" x14ac:dyDescent="0.25">
      <c r="A12" s="5">
        <v>7</v>
      </c>
      <c r="B12" s="10" t="s">
        <v>31</v>
      </c>
      <c r="C12" s="10" t="s">
        <v>13</v>
      </c>
      <c r="D12" s="1" t="s">
        <v>1</v>
      </c>
      <c r="E12" s="10" t="s">
        <v>23</v>
      </c>
      <c r="F12" s="10" t="s">
        <v>24</v>
      </c>
      <c r="G12" s="10" t="s">
        <v>14</v>
      </c>
      <c r="H12" s="10" t="s">
        <v>25</v>
      </c>
      <c r="I12" s="10" t="s">
        <v>26</v>
      </c>
      <c r="J12" s="10" t="s">
        <v>27</v>
      </c>
      <c r="K12" s="10" t="s">
        <v>19</v>
      </c>
    </row>
    <row r="13" spans="1:11" x14ac:dyDescent="0.25">
      <c r="A13" s="5"/>
      <c r="B13" s="14"/>
      <c r="C13" s="2">
        <v>0.85199999999999998</v>
      </c>
      <c r="D13" s="2">
        <v>15000</v>
      </c>
      <c r="E13" s="2">
        <v>0.4</v>
      </c>
      <c r="F13" s="2">
        <v>1</v>
      </c>
      <c r="G13" s="2" t="s">
        <v>18</v>
      </c>
      <c r="H13" s="2">
        <v>0</v>
      </c>
      <c r="I13" s="2">
        <v>0</v>
      </c>
      <c r="J13" s="2">
        <v>0</v>
      </c>
      <c r="K13" s="2" t="s">
        <v>31</v>
      </c>
    </row>
    <row r="14" spans="1:11" x14ac:dyDescent="0.25">
      <c r="A14" s="5"/>
      <c r="B14" s="10"/>
      <c r="C14" s="10"/>
      <c r="D14" s="1"/>
      <c r="E14" s="10"/>
      <c r="F14" s="10"/>
      <c r="G14" s="10"/>
      <c r="H14" s="10"/>
      <c r="I14" s="10"/>
      <c r="J14" s="10"/>
      <c r="K14" s="10"/>
    </row>
    <row r="15" spans="1:11" x14ac:dyDescent="0.25">
      <c r="A15" s="5"/>
      <c r="B15" s="14"/>
    </row>
    <row r="16" spans="1:11" x14ac:dyDescent="0.25">
      <c r="A16" s="5"/>
      <c r="B16" s="3"/>
      <c r="C16" s="39"/>
      <c r="D16" s="1"/>
      <c r="E16" s="39"/>
      <c r="F16" s="39"/>
      <c r="G16" s="39"/>
      <c r="H16" s="39"/>
      <c r="I16" s="40"/>
      <c r="J16" s="39"/>
      <c r="K16" s="41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F2:XFD2 B3:XFD3 J4:XFD4 B4:K11 K5:XFD5 B6:XFD13 L14:XFD14 F15:XFD21 B16:E21 A22:XFD1048576">
    <cfRule type="expression" dxfId="4" priority="4">
      <formula>MOD(ROW(),2)=0</formula>
    </cfRule>
  </conditionalFormatting>
  <conditionalFormatting sqref="B4:I5">
    <cfRule type="expression" dxfId="3" priority="2">
      <formula>MOD(ROW(),2)=0</formula>
    </cfRule>
  </conditionalFormatting>
  <conditionalFormatting sqref="D12">
    <cfRule type="expression" dxfId="2" priority="1">
      <formula>MOD(ROW(),2)=0</formula>
    </cfRule>
  </conditionalFormatting>
  <conditionalFormatting sqref="D14">
    <cfRule type="expression" dxfId="1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Templates</vt:lpstr>
      <vt:lpstr>JB_V1</vt:lpstr>
      <vt:lpstr>JB_Verification</vt:lpstr>
      <vt:lpstr>C172</vt:lpstr>
      <vt:lpstr>B747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Zack Wojtalik</cp:lastModifiedBy>
  <dcterms:created xsi:type="dcterms:W3CDTF">2024-11-07T17:59:15Z</dcterms:created>
  <dcterms:modified xsi:type="dcterms:W3CDTF">2026-10-05T18:19:46Z</dcterms:modified>
</cp:coreProperties>
</file>