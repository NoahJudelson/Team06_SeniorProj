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AES-AircraftDesignToolbox-ASEN4138_Spr26_Feb23_Update/MAIN/Input Excel Sheets/Design Configurations/"/>
    </mc:Choice>
  </mc:AlternateContent>
  <xr:revisionPtr revIDLastSave="0" documentId="13_ncr:1_{DB8C7738-ED36-DD42-9F34-AD6A3751ECC2}" xr6:coauthVersionLast="47" xr6:coauthVersionMax="47" xr10:uidLastSave="{00000000-0000-0000-0000-000000000000}"/>
  <bookViews>
    <workbookView xWindow="20" yWindow="500" windowWidth="28800" windowHeight="1622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 i="4" l="1"/>
  <c r="V6" i="4"/>
  <c r="O6" i="4"/>
  <c r="K6" i="4"/>
  <c r="I6" i="4"/>
  <c r="H6" i="4"/>
  <c r="W5" i="5"/>
  <c r="G5" i="5"/>
  <c r="F5" i="5"/>
  <c r="E5" i="5"/>
  <c r="A5" i="5"/>
  <c r="K5" i="4"/>
  <c r="I5" i="4"/>
  <c r="H5" i="4"/>
  <c r="W4" i="5"/>
  <c r="G4" i="5"/>
  <c r="F4" i="5"/>
  <c r="E4" i="5"/>
  <c r="A4" i="5"/>
  <c r="H4" i="4"/>
  <c r="B72" i="15" a="1"/>
  <c r="B72" i="15" s="1"/>
  <c r="B2" i="15" a="1"/>
  <c r="B2" i="15" s="1"/>
  <c r="A3" i="5" l="1"/>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<sst xmlns="http://schemas.openxmlformats.org/spreadsheetml/2006/main" count="441" uniqueCount="245">
  <si>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</si>
  <si>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</si>
  <si>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</si>
  <si>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</si>
  <si>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</si>
  <si>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</si>
  <si>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</si>
  <si>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</si>
  <si>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</si>
  <si>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</si>
  <si>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</si>
  <si>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</si>
  <si>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</si>
  <si>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</si>
  <si>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</si>
  <si>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</si>
  <si>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</si>
  <si>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</si>
  <si>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</si>
  <si>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</si>
  <si>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</si>
  <si>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</si>
  <si>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</si>
  <si>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</si>
  <si>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</si>
  <si>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</si>
  <si>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</si>
  <si>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</si>
  <si>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</si>
  <si>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</si>
  <si>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</si>
  <si>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</si>
  <si>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</si>
  <si>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</si>
  <si>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</si>
  <si>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</si>
  <si>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</si>
  <si>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</si>
  <si>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</si>
  <si>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</si>
  <si>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</si>
  <si>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</si>
  <si>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</si>
  <si>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</si>
  <si>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</si>
  <si>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</si>
  <si>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</si>
  <si>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</si>
  <si>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</si>
  <si>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</si>
  <si>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</si>
  <si>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</si>
  <si>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</si>
  <si>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</si>
  <si>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</si>
  <si>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</si>
  <si>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</si>
  <si>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</si>
  <si>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</si>
  <si>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</si>
  <si>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</si>
  <si>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</si>
  <si>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</si>
  <si>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</si>
  <si>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</si>
  <si>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</si>
  <si>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</si>
  <si>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</si>
  <si>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</si>
  <si>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</si>
  <si>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</si>
  <si>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</si>
  <si>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</si>
  <si>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</si>
  <si>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</si>
  <si>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</si>
  <si>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</si>
  <si>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</si>
  <si>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</si>
  <si>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</si>
  <si>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</si>
  <si>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</si>
  <si>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</si>
  <si>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</si>
  <si>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</si>
  <si>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</si>
  <si>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</si>
  <si>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</si>
  <si>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</si>
  <si>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</si>
  <si>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</si>
  <si>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</si>
  <si>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</si>
  <si>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</si>
  <si>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</si>
  <si>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</si>
  <si>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</si>
  <si>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</si>
  <si>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</si>
  <si>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</si>
  <si>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</si>
  <si>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</si>
  <si>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</si>
  <si>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</si>
  <si>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</si>
  <si>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</si>
  <si>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</si>
  <si>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</si>
  <si>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</si>
  <si>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</si>
  <si>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</si>
  <si>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</si>
  <si>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</si>
  <si>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</si>
  <si>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</si>
  <si>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</si>
  <si>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</si>
  <si>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</si>
  <si>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</si>
  <si>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</si>
  <si>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</si>
  <si>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</si>
  <si>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</si>
  <si>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</si>
  <si>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</si>
  <si>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</si>
  <si>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</si>
  <si>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</si>
  <si>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</si>
  <si>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</si>
  <si>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</si>
  <si>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</si>
  <si>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</si>
  <si>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</si>
  <si>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</si>
  <si>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</si>
  <si>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</si>
  <si>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</si>
  <si>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</si>
  <si>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</si>
  <si>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</si>
  <si>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</si>
  <si>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</si>
  <si>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</si>
  <si>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</si>
  <si>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</si>
  <si>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</si>
  <si>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</si>
  <si>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</si>
  <si>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</si>
  <si>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</si>
  <si>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</si>
  <si>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</si>
  <si>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</si>
  <si>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</si>
  <si>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</si>
  <si>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</si>
  <si>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</si>
  <si>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</si>
  <si>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</si>
  <si>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</si>
  <si>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</si>
  <si>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</si>
  <si>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</si>
  <si>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</si>
  <si>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</si>
  <si>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</si>
  <si>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</si>
  <si>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</si>
  <si>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</si>
  <si>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</si>
  <si>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</si>
  <si>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</si>
  <si>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</si>
  <si>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</si>
  <si>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</si>
  <si>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</si>
  <si>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</si>
  <si>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</si>
  <si>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</si>
  <si>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</si>
  <si>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</si>
  <si>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</si>
  <si>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</si>
  <si>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</si>
  <si>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</si>
  <si>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</si>
  <si>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</si>
  <si>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</si>
  <si>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</si>
  <si>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</si>
  <si>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</si>
  <si>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</si>
  <si>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</si>
  <si>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</si>
  <si>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</si>
  <si>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</si>
  <si>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</si>
  <si>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</si>
  <si>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</si>
  <si>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</si>
  <si>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</si>
  <si>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</si>
  <si>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</si>
  <si>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</si>
  <si>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</si>
  <si>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</si>
  <si>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</si>
  <si>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</si>
  <si>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</si>
  <si>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</si>
  <si>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</si>
  <si>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</si>
  <si>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</si>
  <si>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</si>
  <si>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</si>
  <si>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</si>
  <si>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</si>
  <si>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</si>
  <si>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</si>
  <si>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</si>
  <si>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</si>
  <si>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</si>
  <si>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</si>
  <si>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</si>
  <si>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</si>
  <si>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</si>
  <si>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</si>
  <si>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</si>
  <si>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</si>
  <si>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</si>
  <si>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</si>
  <si>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</si>
  <si>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</si>
  <si>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</si>
  <si>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</si>
  <si>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</si>
  <si>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</si>
  <si>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</si>
  <si>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</si>
  <si>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</si>
  <si>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</si>
  <si>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Snr_Proj_v1</t>
  </si>
  <si>
    <t>SD7062</t>
  </si>
  <si>
    <t>NACA0021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</si>
</sst>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26" zoomScale="125" workbookViewId="0">
      <selection activeCell="D15" sqref="D15"/>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216</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9"/>
  <sheetViews>
    <sheetView tabSelected="1" topLeftCell="AD1" zoomScale="166" workbookViewId="0">
      <selection activeCell="AN9" sqref="AN9"/>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6"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227</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217</v>
      </c>
      <c r="B4" s="4" t="s">
        <v>237</v>
      </c>
      <c r="C4" s="4">
        <v>0</v>
      </c>
      <c r="D4" s="4">
        <v>0.18</v>
      </c>
      <c r="E4" s="4">
        <v>0.3</v>
      </c>
      <c r="F4" s="4">
        <v>27</v>
      </c>
      <c r="G4" s="4">
        <v>4</v>
      </c>
      <c r="H4" s="4">
        <f t="shared" si="0"/>
        <v>6.75</v>
      </c>
      <c r="I4" s="4">
        <v>12.56</v>
      </c>
      <c r="J4" s="4">
        <v>0</v>
      </c>
      <c r="K4" s="4">
        <v>280</v>
      </c>
      <c r="L4" s="4">
        <v>1</v>
      </c>
      <c r="M4" s="4">
        <v>1</v>
      </c>
      <c r="N4" s="4">
        <v>174</v>
      </c>
      <c r="O4" s="4">
        <v>380</v>
      </c>
      <c r="P4" s="4">
        <v>7.32</v>
      </c>
      <c r="Q4" s="4">
        <v>0.67200000000000004</v>
      </c>
      <c r="R4" s="4">
        <v>0</v>
      </c>
      <c r="S4" s="4">
        <v>0</v>
      </c>
      <c r="T4" s="4">
        <v>1.1000000000000001</v>
      </c>
      <c r="U4" s="4">
        <v>36.6</v>
      </c>
      <c r="V4" s="4">
        <v>80</v>
      </c>
      <c r="W4" s="4">
        <v>3.5</v>
      </c>
      <c r="X4" s="4">
        <v>0.56999999999999995</v>
      </c>
      <c r="Y4" s="4">
        <v>0</v>
      </c>
      <c r="Z4" s="4">
        <v>3.61</v>
      </c>
      <c r="AA4" s="4">
        <v>1.1000000000000001</v>
      </c>
      <c r="AB4" s="4">
        <v>0</v>
      </c>
      <c r="AC4" s="4">
        <v>0</v>
      </c>
      <c r="AD4" s="4">
        <v>0</v>
      </c>
      <c r="AE4" s="4">
        <v>0</v>
      </c>
      <c r="AF4" s="4">
        <v>0</v>
      </c>
      <c r="AG4" s="4">
        <v>0</v>
      </c>
      <c r="AH4" s="4">
        <v>0</v>
      </c>
      <c r="AI4" s="4">
        <v>11.2</v>
      </c>
      <c r="AJ4" s="4">
        <v>25</v>
      </c>
      <c r="AK4" s="4">
        <v>1.6</v>
      </c>
      <c r="AL4" s="4">
        <v>0.4</v>
      </c>
      <c r="AM4" s="4">
        <v>0</v>
      </c>
      <c r="AN4" s="4">
        <v>4</v>
      </c>
      <c r="AO4" s="4">
        <v>1.1000000000000001</v>
      </c>
      <c r="AP4" s="4">
        <v>0</v>
      </c>
      <c r="AQ4" s="4">
        <v>0</v>
      </c>
      <c r="AR4" s="4">
        <v>0</v>
      </c>
      <c r="AS4" s="4">
        <v>0</v>
      </c>
      <c r="AT4" s="4">
        <v>0</v>
      </c>
      <c r="AU4" s="4">
        <v>0</v>
      </c>
      <c r="AV4" s="4">
        <v>0</v>
      </c>
    </row>
    <row r="5" spans="1:48" x14ac:dyDescent="0.2">
      <c r="A5" s="4" t="s">
        <v>240</v>
      </c>
      <c r="B5" s="4" t="s">
        <v>230</v>
      </c>
      <c r="C5" s="4">
        <v>0</v>
      </c>
      <c r="D5" s="4">
        <v>0.5</v>
      </c>
      <c r="E5" s="4">
        <v>0.6</v>
      </c>
      <c r="F5" s="4">
        <v>57</v>
      </c>
      <c r="G5" s="4">
        <v>10</v>
      </c>
      <c r="H5" s="4">
        <f t="shared" si="0"/>
        <v>5.7</v>
      </c>
      <c r="I5" s="4">
        <f>PI()*(G5/2)^2</f>
        <v>78.539816339744831</v>
      </c>
      <c r="J5" s="4">
        <v>0</v>
      </c>
      <c r="K5" s="4">
        <f>2500</f>
        <v>2500</v>
      </c>
      <c r="L5" s="4">
        <v>1</v>
      </c>
      <c r="M5" s="4">
        <v>2</v>
      </c>
      <c r="N5" s="4">
        <v>301</v>
      </c>
      <c r="O5" s="4">
        <v>620</v>
      </c>
      <c r="P5" s="4">
        <v>6</v>
      </c>
      <c r="Q5" s="4">
        <v>0.9</v>
      </c>
      <c r="R5" s="4">
        <v>0</v>
      </c>
      <c r="S5" s="4">
        <v>0</v>
      </c>
      <c r="T5" s="4">
        <v>1.1000000000000001</v>
      </c>
      <c r="U5" s="4">
        <v>180</v>
      </c>
      <c r="V5" s="4">
        <v>200</v>
      </c>
      <c r="W5" s="4">
        <v>3</v>
      </c>
      <c r="X5" s="4">
        <v>0.9</v>
      </c>
      <c r="Y5" s="4">
        <v>0</v>
      </c>
      <c r="Z5" s="4">
        <v>10</v>
      </c>
      <c r="AA5" s="4">
        <v>1.1000000000000001</v>
      </c>
      <c r="AB5" s="4">
        <v>0</v>
      </c>
      <c r="AC5" s="4">
        <v>0</v>
      </c>
      <c r="AD5" s="4">
        <v>0</v>
      </c>
      <c r="AE5" s="4">
        <v>0</v>
      </c>
      <c r="AF5" s="4">
        <v>0</v>
      </c>
      <c r="AG5" s="4">
        <v>0</v>
      </c>
      <c r="AH5" s="4">
        <v>0</v>
      </c>
      <c r="AI5" s="4">
        <v>100</v>
      </c>
      <c r="AJ5" s="4">
        <v>140</v>
      </c>
      <c r="AK5" s="4">
        <v>1.2</v>
      </c>
      <c r="AL5" s="4">
        <v>0.9</v>
      </c>
      <c r="AM5" s="4">
        <v>0</v>
      </c>
      <c r="AN5" s="4">
        <v>7</v>
      </c>
      <c r="AO5" s="4">
        <v>1.1000000000000001</v>
      </c>
      <c r="AP5" s="4">
        <v>0</v>
      </c>
      <c r="AQ5" s="4">
        <v>0</v>
      </c>
      <c r="AR5" s="4">
        <v>0</v>
      </c>
      <c r="AS5" s="4">
        <v>0</v>
      </c>
      <c r="AT5" s="4">
        <v>0</v>
      </c>
      <c r="AU5" s="4">
        <v>0</v>
      </c>
      <c r="AV5" s="4">
        <v>0</v>
      </c>
    </row>
    <row r="6" spans="1:48" x14ac:dyDescent="0.2">
      <c r="A6" t="s">
        <v>242</v>
      </c>
      <c r="B6" s="4" t="s">
        <v>237</v>
      </c>
      <c r="C6" s="4">
        <v>0</v>
      </c>
      <c r="D6" s="4">
        <v>4.7300000000000002E-2</v>
      </c>
      <c r="E6" s="4">
        <v>0.20810000000000001</v>
      </c>
      <c r="F6" s="4">
        <v>3.9470000000000001</v>
      </c>
      <c r="G6" s="4">
        <v>0.49199999999999999</v>
      </c>
      <c r="H6" s="4">
        <f t="shared" si="0"/>
        <v>8.0223577235772368</v>
      </c>
      <c r="I6" s="4">
        <f>PI()*(G6/2)^2</f>
        <v>0.19011662102463991</v>
      </c>
      <c r="J6" s="4">
        <v>0</v>
      </c>
      <c r="K6" s="4">
        <f>F6*G6</f>
        <v>1.941924</v>
      </c>
      <c r="L6" s="4">
        <v>1.1000000000000001</v>
      </c>
      <c r="M6" s="4">
        <v>2</v>
      </c>
      <c r="N6" s="4">
        <v>10.7639</v>
      </c>
      <c r="O6" s="4">
        <f>2*N6</f>
        <v>21.527799999999999</v>
      </c>
      <c r="P6" s="4">
        <v>4.76</v>
      </c>
      <c r="Q6" s="4">
        <v>0</v>
      </c>
      <c r="R6" s="4">
        <v>0</v>
      </c>
      <c r="S6" s="4">
        <v>0</v>
      </c>
      <c r="T6" s="4">
        <v>1.4</v>
      </c>
      <c r="U6" s="4">
        <v>6.7270000000000003</v>
      </c>
      <c r="V6" s="4">
        <f>U6*2</f>
        <v>13.454000000000001</v>
      </c>
      <c r="W6" s="4">
        <v>3</v>
      </c>
      <c r="X6" s="4">
        <v>0</v>
      </c>
      <c r="Y6" s="4">
        <v>0</v>
      </c>
      <c r="Z6" s="4">
        <v>1.498</v>
      </c>
      <c r="AA6" s="4">
        <v>1.4</v>
      </c>
      <c r="AB6" s="4">
        <v>0</v>
      </c>
      <c r="AC6" s="4">
        <v>0</v>
      </c>
      <c r="AD6" s="4">
        <v>0</v>
      </c>
      <c r="AE6" s="4">
        <v>0</v>
      </c>
      <c r="AF6" s="4">
        <v>0</v>
      </c>
      <c r="AG6" s="4">
        <v>0</v>
      </c>
      <c r="AH6" s="4">
        <v>0</v>
      </c>
      <c r="AI6" s="4">
        <v>1.4962</v>
      </c>
      <c r="AJ6" s="4">
        <f>2*AI6</f>
        <v>2.9923999999999999</v>
      </c>
      <c r="AK6" s="4">
        <v>1.6</v>
      </c>
      <c r="AL6" s="4">
        <v>0.4</v>
      </c>
      <c r="AM6" s="4">
        <v>0</v>
      </c>
      <c r="AN6" s="4">
        <v>0.37140000000000001</v>
      </c>
      <c r="AO6" s="4">
        <v>1.1000000000000001</v>
      </c>
      <c r="AP6" s="4">
        <v>0</v>
      </c>
      <c r="AQ6" s="4">
        <v>0</v>
      </c>
      <c r="AR6" s="4">
        <v>0</v>
      </c>
      <c r="AS6" s="4">
        <v>0</v>
      </c>
      <c r="AT6" s="4">
        <v>0</v>
      </c>
      <c r="AU6" s="4">
        <v>0</v>
      </c>
      <c r="AV6" s="4">
        <v>0</v>
      </c>
    </row>
    <row r="19"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9"/>
  <sheetViews>
    <sheetView workbookViewId="0">
      <selection activeCell="A5" activeCellId="1" sqref="A4:XFD4 A5:XFD5"/>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ht="16" x14ac:dyDescent="0.2">
      <c r="A4" s="10" t="str">
        <f>Main_Input!A4</f>
        <v>Electric</v>
      </c>
      <c r="B4" s="10" t="s">
        <v>214</v>
      </c>
      <c r="C4" s="10">
        <v>0.12</v>
      </c>
      <c r="D4" s="10">
        <v>0.3</v>
      </c>
      <c r="E4" s="3">
        <f>-0.483</f>
        <v>-0.48299999999999998</v>
      </c>
      <c r="F4" s="29">
        <f>-0.3983</f>
        <v>-0.39829999999999999</v>
      </c>
      <c r="G4" s="29">
        <f>-0.3108</f>
        <v>-0.31080000000000002</v>
      </c>
      <c r="H4" s="29">
        <v>-0.2485</v>
      </c>
      <c r="I4" s="29">
        <v>-0.1244</v>
      </c>
      <c r="J4" s="10">
        <v>-5.8900000000000001E-2</v>
      </c>
      <c r="K4" s="29">
        <v>0.13750000000000001</v>
      </c>
      <c r="L4" s="29">
        <v>0.30249999999999999</v>
      </c>
      <c r="M4" s="29">
        <v>0.45279999999999998</v>
      </c>
      <c r="N4" s="29">
        <v>0.59899999999999998</v>
      </c>
      <c r="O4" s="29">
        <v>0.7429</v>
      </c>
      <c r="P4" s="29">
        <v>0.85670000000000002</v>
      </c>
      <c r="Q4" s="29">
        <v>0.95979999999999999</v>
      </c>
      <c r="R4" s="10">
        <v>1.0251999999999999</v>
      </c>
      <c r="S4" s="10">
        <v>1.0969</v>
      </c>
      <c r="T4" s="29">
        <v>1.1591</v>
      </c>
      <c r="U4" s="29">
        <v>1.1391</v>
      </c>
      <c r="V4" s="10">
        <v>1.0009999999999999</v>
      </c>
      <c r="W4" s="10">
        <f>1.1591</f>
        <v>1.1591</v>
      </c>
      <c r="X4" s="29">
        <v>3.1399999999999997E-2</v>
      </c>
      <c r="Y4" s="29">
        <v>2.6689999999999998E-2</v>
      </c>
      <c r="Z4" s="29">
        <v>2.6689999999999998E-2</v>
      </c>
      <c r="AA4" s="29">
        <v>2.1329999999999998E-2</v>
      </c>
      <c r="AB4" s="29">
        <v>2.1909999999999999E-2</v>
      </c>
      <c r="AC4" s="29">
        <v>2.4060000000000002E-2</v>
      </c>
      <c r="AD4" s="29">
        <v>2.81E-2</v>
      </c>
      <c r="AE4" s="29">
        <v>3.099E-2</v>
      </c>
      <c r="AF4" s="29">
        <v>3.304E-2</v>
      </c>
      <c r="AG4" s="29">
        <v>3.3750000000000002E-2</v>
      </c>
      <c r="AH4" s="29">
        <v>3.2559999999999999E-2</v>
      </c>
      <c r="AI4" s="29">
        <v>3.159E-2</v>
      </c>
      <c r="AJ4" s="29">
        <v>3.0269999999999998E-2</v>
      </c>
      <c r="AK4" s="11">
        <v>3.245E-2</v>
      </c>
      <c r="AL4" s="11">
        <v>3.9794999999999997E-2</v>
      </c>
      <c r="AM4" s="29">
        <v>4.9970000000000001E-2</v>
      </c>
      <c r="AN4" s="29">
        <v>6.5100000000000005E-2</v>
      </c>
      <c r="AO4" s="11">
        <v>9.2009999999999995E-2</v>
      </c>
      <c r="AP4" s="29">
        <v>2.1329999999999998E-2</v>
      </c>
      <c r="AQ4" s="10" t="s">
        <v>181</v>
      </c>
      <c r="AR4" s="10">
        <v>0.04</v>
      </c>
      <c r="AS4" s="10">
        <v>0.3</v>
      </c>
      <c r="AT4" s="10">
        <v>0</v>
      </c>
      <c r="AU4" s="10">
        <v>0</v>
      </c>
      <c r="AV4" s="10">
        <v>0</v>
      </c>
      <c r="AW4" s="10" t="s">
        <v>181</v>
      </c>
      <c r="AX4" s="10">
        <v>0.04</v>
      </c>
      <c r="AY4" s="10">
        <v>0.3</v>
      </c>
      <c r="AZ4" s="10">
        <v>0</v>
      </c>
      <c r="BA4" s="10">
        <v>0</v>
      </c>
      <c r="BB4" s="10">
        <v>0</v>
      </c>
    </row>
    <row r="5" spans="1:54" ht="16" x14ac:dyDescent="0.2">
      <c r="A5" s="10" t="str">
        <f>Main_Input!A5</f>
        <v>Tiltrotor Turboprop</v>
      </c>
      <c r="B5" s="10" t="s">
        <v>214</v>
      </c>
      <c r="C5" s="10">
        <v>0.12</v>
      </c>
      <c r="D5" s="10">
        <v>0.3</v>
      </c>
      <c r="E5" s="3">
        <f>-0.483</f>
        <v>-0.48299999999999998</v>
      </c>
      <c r="F5" s="29">
        <f>-0.3983</f>
        <v>-0.39829999999999999</v>
      </c>
      <c r="G5" s="29">
        <f>-0.3108</f>
        <v>-0.31080000000000002</v>
      </c>
      <c r="H5" s="29">
        <v>-0.2485</v>
      </c>
      <c r="I5" s="29">
        <v>-0.1244</v>
      </c>
      <c r="J5" s="10">
        <v>-5.8900000000000001E-2</v>
      </c>
      <c r="K5" s="29">
        <v>0.13750000000000001</v>
      </c>
      <c r="L5" s="29">
        <v>0.30249999999999999</v>
      </c>
      <c r="M5" s="29">
        <v>0.45279999999999998</v>
      </c>
      <c r="N5" s="29">
        <v>0.59899999999999998</v>
      </c>
      <c r="O5" s="29">
        <v>0.7429</v>
      </c>
      <c r="P5" s="29">
        <v>0.85670000000000002</v>
      </c>
      <c r="Q5" s="29">
        <v>0.95979999999999999</v>
      </c>
      <c r="R5" s="10">
        <v>1.0251999999999999</v>
      </c>
      <c r="S5" s="10">
        <v>1.0969</v>
      </c>
      <c r="T5" s="29">
        <v>1.1591</v>
      </c>
      <c r="U5" s="29">
        <v>1.1391</v>
      </c>
      <c r="V5" s="10">
        <v>1.0009999999999999</v>
      </c>
      <c r="W5" s="10">
        <f>1.1591</f>
        <v>1.1591</v>
      </c>
      <c r="X5" s="29">
        <v>3.1399999999999997E-2</v>
      </c>
      <c r="Y5" s="29">
        <v>2.6689999999999998E-2</v>
      </c>
      <c r="Z5" s="29">
        <v>2.6689999999999998E-2</v>
      </c>
      <c r="AA5" s="29">
        <v>2.1329999999999998E-2</v>
      </c>
      <c r="AB5" s="29">
        <v>2.1909999999999999E-2</v>
      </c>
      <c r="AC5" s="29">
        <v>2.4060000000000002E-2</v>
      </c>
      <c r="AD5" s="29">
        <v>2.81E-2</v>
      </c>
      <c r="AE5" s="29">
        <v>3.099E-2</v>
      </c>
      <c r="AF5" s="29">
        <v>3.304E-2</v>
      </c>
      <c r="AG5" s="29">
        <v>3.3750000000000002E-2</v>
      </c>
      <c r="AH5" s="29">
        <v>3.2559999999999999E-2</v>
      </c>
      <c r="AI5" s="29">
        <v>3.159E-2</v>
      </c>
      <c r="AJ5" s="29">
        <v>3.0269999999999998E-2</v>
      </c>
      <c r="AK5" s="11">
        <v>3.245E-2</v>
      </c>
      <c r="AL5" s="11">
        <v>3.9794999999999997E-2</v>
      </c>
      <c r="AM5" s="29">
        <v>4.9970000000000001E-2</v>
      </c>
      <c r="AN5" s="29">
        <v>6.5100000000000005E-2</v>
      </c>
      <c r="AO5" s="11">
        <v>9.2009999999999995E-2</v>
      </c>
      <c r="AP5" s="29">
        <v>2.1329999999999998E-2</v>
      </c>
      <c r="AQ5" s="10" t="s">
        <v>181</v>
      </c>
      <c r="AR5" s="10">
        <v>0.04</v>
      </c>
      <c r="AS5" s="10">
        <v>0.3</v>
      </c>
      <c r="AT5" s="10">
        <v>0</v>
      </c>
      <c r="AU5" s="10">
        <v>0</v>
      </c>
      <c r="AV5" s="10">
        <v>0</v>
      </c>
      <c r="AW5" s="10" t="s">
        <v>181</v>
      </c>
      <c r="AX5" s="10">
        <v>0.04</v>
      </c>
      <c r="AY5" s="10">
        <v>0.3</v>
      </c>
      <c r="AZ5" s="10">
        <v>0</v>
      </c>
      <c r="BA5" s="10">
        <v>0</v>
      </c>
      <c r="BB5" s="10">
        <v>0</v>
      </c>
    </row>
    <row r="6" spans="1:54" x14ac:dyDescent="0.2">
      <c r="A6" t="s">
        <v>242</v>
      </c>
      <c r="B6" s="10" t="s">
        <v>243</v>
      </c>
      <c r="C6" s="10">
        <v>0.14000000000000001</v>
      </c>
      <c r="D6" s="10">
        <v>0.255</v>
      </c>
      <c r="E6" s="10">
        <v>-0.1431</v>
      </c>
      <c r="F6" s="10">
        <v>-5.0000000000000001E-3</v>
      </c>
      <c r="G6" s="10">
        <v>0.10730000000000001</v>
      </c>
      <c r="H6" s="10">
        <v>0.20549999999999999</v>
      </c>
      <c r="I6" s="10">
        <v>0.29360000000000003</v>
      </c>
      <c r="J6" s="10">
        <v>0.44130000000000003</v>
      </c>
      <c r="K6" s="10">
        <v>0.55389999999999995</v>
      </c>
      <c r="L6" s="10">
        <v>0.6593</v>
      </c>
      <c r="M6" s="10">
        <v>0.76270000000000004</v>
      </c>
      <c r="N6" s="10">
        <v>0.86850000000000005</v>
      </c>
      <c r="O6" s="10">
        <v>0.97030000000000005</v>
      </c>
      <c r="P6" s="10">
        <v>1.0701000000000001</v>
      </c>
      <c r="Q6" s="10">
        <v>1.1707000000000001</v>
      </c>
      <c r="R6" s="10">
        <v>1.2575000000000001</v>
      </c>
      <c r="S6" s="10">
        <v>1.3427</v>
      </c>
      <c r="T6" s="10">
        <v>1.4209000000000001</v>
      </c>
      <c r="U6" s="10">
        <v>1.4866999999999999</v>
      </c>
      <c r="V6" s="10">
        <v>1.5385</v>
      </c>
      <c r="W6" s="10">
        <v>1.5978000000000001</v>
      </c>
      <c r="X6" s="10">
        <v>3.032E-2</v>
      </c>
      <c r="Y6" s="10">
        <v>2.435E-2</v>
      </c>
      <c r="Z6" s="10">
        <v>1.9900000000000001E-2</v>
      </c>
      <c r="AA6" s="10">
        <v>1.8790000000000001E-2</v>
      </c>
      <c r="AB6" s="10">
        <v>1.8429999999999998E-2</v>
      </c>
      <c r="AC6" s="10">
        <v>1.7649999999999999E-2</v>
      </c>
      <c r="AD6" s="10">
        <v>1.7919999999999998E-2</v>
      </c>
      <c r="AE6" s="10">
        <v>1.84E-2</v>
      </c>
      <c r="AF6" s="10">
        <v>1.9290000000000002E-2</v>
      </c>
      <c r="AG6" s="10">
        <v>2.018E-2</v>
      </c>
      <c r="AH6" s="10">
        <v>2.147E-2</v>
      </c>
      <c r="AI6" s="10">
        <v>2.2919999999999999E-2</v>
      </c>
      <c r="AJ6" s="10">
        <v>2.4580000000000001E-2</v>
      </c>
      <c r="AK6" s="10">
        <v>2.6849999999999999E-2</v>
      </c>
      <c r="AL6" s="10">
        <v>2.9309999999999999E-2</v>
      </c>
      <c r="AM6" s="10">
        <v>3.2190000000000003E-2</v>
      </c>
      <c r="AN6" s="10">
        <v>3.567E-2</v>
      </c>
      <c r="AO6" s="10">
        <v>3.9809999999999998E-2</v>
      </c>
      <c r="AP6" s="10">
        <v>1.7520000000000001E-2</v>
      </c>
      <c r="AQ6" s="10" t="s">
        <v>244</v>
      </c>
      <c r="AR6" s="10">
        <v>0.21</v>
      </c>
      <c r="AS6" s="10">
        <v>0.3</v>
      </c>
      <c r="AT6" s="10">
        <v>0</v>
      </c>
      <c r="AU6" s="10">
        <v>0</v>
      </c>
      <c r="AV6" s="10">
        <v>0</v>
      </c>
      <c r="AW6" s="10" t="s">
        <v>215</v>
      </c>
      <c r="AX6" s="10">
        <v>0.1</v>
      </c>
      <c r="AY6" s="10">
        <v>0.3</v>
      </c>
      <c r="AZ6" s="10">
        <v>0</v>
      </c>
      <c r="BA6" s="10">
        <v>0</v>
      </c>
      <c r="BB6" s="10">
        <v>0</v>
      </c>
    </row>
    <row r="19"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9"/>
  <sheetViews>
    <sheetView zoomScale="164" workbookViewId="0">
      <selection activeCell="D13" sqref="D13"/>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241</v>
      </c>
      <c r="M1" s="30" t="s">
        <v>218</v>
      </c>
      <c r="N1" s="30" t="s">
        <v>219</v>
      </c>
      <c r="O1" s="30" t="s">
        <v>220</v>
      </c>
      <c r="P1" s="30" t="s">
        <v>221</v>
      </c>
      <c r="Q1" s="30" t="s">
        <v>222</v>
      </c>
      <c r="R1" s="30" t="s">
        <v>223</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224</v>
      </c>
      <c r="C3">
        <v>1</v>
      </c>
      <c r="D3">
        <v>0</v>
      </c>
      <c r="E3">
        <v>0</v>
      </c>
      <c r="F3">
        <v>0</v>
      </c>
      <c r="G3">
        <v>0</v>
      </c>
      <c r="H3">
        <v>0</v>
      </c>
      <c r="I3">
        <v>160</v>
      </c>
      <c r="J3">
        <v>0.39</v>
      </c>
      <c r="K3">
        <v>0.8</v>
      </c>
      <c r="L3">
        <v>0</v>
      </c>
      <c r="M3">
        <v>0</v>
      </c>
      <c r="N3">
        <v>0</v>
      </c>
      <c r="O3">
        <v>0</v>
      </c>
      <c r="P3">
        <v>0</v>
      </c>
      <c r="Q3">
        <v>0</v>
      </c>
      <c r="R3">
        <v>0</v>
      </c>
    </row>
    <row r="4" spans="1:18" x14ac:dyDescent="0.2">
      <c r="A4" t="s">
        <v>217</v>
      </c>
      <c r="B4" t="s">
        <v>188</v>
      </c>
      <c r="C4">
        <v>1</v>
      </c>
      <c r="D4">
        <v>0</v>
      </c>
      <c r="E4">
        <v>0</v>
      </c>
      <c r="F4">
        <v>0</v>
      </c>
      <c r="G4">
        <v>0</v>
      </c>
      <c r="H4">
        <v>0</v>
      </c>
      <c r="I4">
        <v>160</v>
      </c>
      <c r="J4">
        <v>0.39</v>
      </c>
      <c r="K4">
        <v>0.8</v>
      </c>
      <c r="L4">
        <v>0</v>
      </c>
      <c r="M4">
        <v>275</v>
      </c>
      <c r="N4">
        <v>0.9</v>
      </c>
      <c r="O4">
        <v>0.9</v>
      </c>
      <c r="P4">
        <v>0.9</v>
      </c>
      <c r="Q4">
        <v>200.47499999999999</v>
      </c>
      <c r="R4">
        <v>0.93</v>
      </c>
    </row>
    <row r="5" spans="1:18" x14ac:dyDescent="0.2">
      <c r="A5" t="s">
        <v>240</v>
      </c>
      <c r="B5" t="s">
        <v>239</v>
      </c>
      <c r="C5">
        <v>2</v>
      </c>
      <c r="D5">
        <v>0</v>
      </c>
      <c r="E5">
        <v>0</v>
      </c>
      <c r="F5">
        <v>0</v>
      </c>
      <c r="G5">
        <v>0</v>
      </c>
      <c r="H5">
        <v>0</v>
      </c>
      <c r="I5">
        <v>6150</v>
      </c>
      <c r="J5">
        <v>0.42599999999999999</v>
      </c>
      <c r="K5">
        <v>0.7</v>
      </c>
      <c r="L5">
        <v>38</v>
      </c>
      <c r="M5">
        <v>0</v>
      </c>
      <c r="N5">
        <v>0</v>
      </c>
      <c r="O5">
        <v>0</v>
      </c>
      <c r="P5">
        <v>0</v>
      </c>
      <c r="Q5">
        <v>0</v>
      </c>
      <c r="R5">
        <v>0</v>
      </c>
    </row>
    <row r="6" spans="1:18" x14ac:dyDescent="0.2">
      <c r="A6" t="s">
        <v>242</v>
      </c>
      <c r="B6" t="s">
        <v>188</v>
      </c>
      <c r="C6">
        <v>1</v>
      </c>
      <c r="D6">
        <v>0</v>
      </c>
      <c r="E6">
        <v>0</v>
      </c>
      <c r="F6">
        <v>0</v>
      </c>
      <c r="G6">
        <v>0</v>
      </c>
      <c r="H6">
        <v>0</v>
      </c>
      <c r="N6">
        <v>0.9</v>
      </c>
      <c r="O6">
        <v>0.9</v>
      </c>
      <c r="P6">
        <v>0.9</v>
      </c>
    </row>
    <row r="19"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239</v>
      </c>
      <c r="B6" t="s">
        <v>225</v>
      </c>
    </row>
    <row r="7" spans="1:2" x14ac:dyDescent="0.2">
      <c r="A7" t="s">
        <v>224</v>
      </c>
      <c r="B7" t="s">
        <v>226</v>
      </c>
    </row>
    <row r="8" spans="1:2" x14ac:dyDescent="0.2">
      <c r="B8" s="28" t="s">
        <v>227</v>
      </c>
    </row>
    <row r="9" spans="1:2" x14ac:dyDescent="0.2">
      <c r="B9" t="s">
        <v>228</v>
      </c>
    </row>
    <row r="10" spans="1:2" x14ac:dyDescent="0.2">
      <c r="B10" s="28" t="s">
        <v>229</v>
      </c>
    </row>
    <row r="11" spans="1:2" x14ac:dyDescent="0.2">
      <c r="B11" t="s">
        <v>238</v>
      </c>
    </row>
    <row r="12" spans="1:2" x14ac:dyDescent="0.2">
      <c r="B12" s="28" t="s">
        <v>237</v>
      </c>
    </row>
    <row r="13" spans="1:2" x14ac:dyDescent="0.2">
      <c r="B13" t="s">
        <v>230</v>
      </c>
    </row>
    <row r="14" spans="1:2" x14ac:dyDescent="0.2">
      <c r="B14" t="s">
        <v>231</v>
      </c>
    </row>
    <row r="15" spans="1:2" x14ac:dyDescent="0.2">
      <c r="B15" t="s">
        <v>232</v>
      </c>
    </row>
    <row r="16" spans="1:2" x14ac:dyDescent="0.2">
      <c r="B16" t="s">
        <v>236</v>
      </c>
    </row>
    <row r="17" spans="2:2" x14ac:dyDescent="0.2">
      <c r="B17" t="s">
        <v>233</v>
      </c>
    </row>
    <row r="18" spans="2:2" x14ac:dyDescent="0.2">
      <c r="B18" t="s">
        <v>235</v>
      </c>
    </row>
    <row r="19" spans="2:2" x14ac:dyDescent="0.2">
      <c r="B19" t="s">
        <v>234</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2026-09-09T19:39:34Z</dcterms:modified>
</cp:coreProperties>
</file>