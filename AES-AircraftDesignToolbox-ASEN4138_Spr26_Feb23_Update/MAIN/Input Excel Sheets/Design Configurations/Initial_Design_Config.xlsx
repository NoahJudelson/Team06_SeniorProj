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zackwoj/Documents/MATLAB/26-27/Fall/Aircraft Design/Team06_SeniorProj/AES-AircraftDesignToolbox-ASEN4138_Spr26_Feb23_Update/MAIN/Input Excel Sheets/Design Configurations/"/>
    </mc:Choice>
  </mc:AlternateContent>
  <xr:revisionPtr revIDLastSave="0" documentId="13_ncr:1_{890EC6BB-3B8C-354A-B984-149CF9FD717A}" xr6:coauthVersionLast="47" xr6:coauthVersionMax="47" xr10:uidLastSave="{00000000-0000-0000-0000-000000000000}"/>
  <bookViews>
    <workbookView xWindow="0" yWindow="500" windowWidth="28800" windowHeight="16220"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4" l="1"/>
  <c r="K8" i="4"/>
  <c r="I8" i="4"/>
  <c r="H8" i="4"/>
  <c r="W7" i="5"/>
  <c r="G7" i="5"/>
  <c r="F7" i="5"/>
  <c r="E7" i="5"/>
  <c r="A7" i="5"/>
  <c r="K7" i="4"/>
  <c r="I7" i="4"/>
  <c r="H7" i="4"/>
  <c r="W6" i="5"/>
  <c r="G6" i="5"/>
  <c r="F6" i="5"/>
  <c r="E6" i="5"/>
  <c r="A6" i="5"/>
  <c r="H6" i="4"/>
  <c r="B72" i="15" a="1"/>
  <c r="B72" i="15" s="1"/>
  <c r="B2" i="15" a="1"/>
  <c r="B2" i="15" s="1"/>
  <c r="AJ4" i="4"/>
  <c r="U4" i="4"/>
  <c r="W4" i="4" s="1"/>
  <c r="O4" i="4"/>
  <c r="I4" i="4"/>
  <c r="H4" i="4"/>
  <c r="A4" i="13" l="1"/>
  <c r="A5" i="13"/>
  <c r="A3" i="5"/>
  <c r="A4" i="5"/>
  <c r="A5" i="5"/>
  <c r="AJ5" i="4"/>
  <c r="V5" i="4"/>
  <c r="O5" i="4"/>
  <c r="H5" i="4"/>
  <c r="A3" i="13" l="1"/>
  <c r="W3" i="5"/>
  <c r="G3" i="5"/>
  <c r="F3" i="5"/>
  <c r="E3" i="5"/>
  <c r="H3" i="4"/>
  <c r="A2" i="13" l="1"/>
  <c r="A2" i="5"/>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<sst xmlns="http://schemas.openxmlformats.org/spreadsheetml/2006/main" count="453" uniqueCount="248">
  <si>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</si>
  <si>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</si>
  <si>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</si>
  <si>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</si>
  <si>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</si>
  <si>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</si>
  <si>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</si>
  <si>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</si>
  <si>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</si>
  <si>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</si>
  <si>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</si>
  <si>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</si>
  <si>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</si>
  <si>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</si>
  <si>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</si>
  <si>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</si>
  <si>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</si>
  <si>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</si>
  <si>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</si>
  <si>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</si>
  <si>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</si>
  <si>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</si>
  <si>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</si>
  <si>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</si>
  <si>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</si>
  <si>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</si>
  <si>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</si>
  <si>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</si>
  <si>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</si>
  <si>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</si>
  <si>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</si>
  <si>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</si>
  <si>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</si>
  <si>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</si>
  <si>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</si>
  <si>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</si>
  <si>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</si>
  <si>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</si>
  <si>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</si>
  <si>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</si>
  <si>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</si>
  <si>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</si>
  <si>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</si>
  <si>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</si>
  <si>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</si>
  <si>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</si>
  <si>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</si>
  <si>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</si>
  <si>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</si>
  <si>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</si>
  <si>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</si>
  <si>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</si>
  <si>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</si>
  <si>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</si>
  <si>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</si>
  <si>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</si>
  <si>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</si>
  <si>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</si>
  <si>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</si>
  <si>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</si>
  <si>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</si>
  <si>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</si>
  <si>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</si>
  <si>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</si>
  <si>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</si>
  <si>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</si>
  <si>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</si>
  <si>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</si>
  <si>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</si>
  <si>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</si>
  <si>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</si>
  <si>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</si>
  <si>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</si>
  <si>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</si>
  <si>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</si>
  <si>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</si>
  <si>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</si>
  <si>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</si>
  <si>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</si>
  <si>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</si>
  <si>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</si>
  <si>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</si>
  <si>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</si>
  <si>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</si>
  <si>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</si>
  <si>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</si>
  <si>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</si>
  <si>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</si>
  <si>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</si>
  <si>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</si>
  <si>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</si>
  <si>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</si>
  <si>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</si>
  <si>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</si>
  <si>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</si>
  <si>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</si>
  <si>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</si>
  <si>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</si>
  <si>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</si>
  <si>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</si>
  <si>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</si>
  <si>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</si>
  <si>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</si>
  <si>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</si>
  <si>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</si>
  <si>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</si>
  <si>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</si>
  <si>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</si>
  <si>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</si>
  <si>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</si>
  <si>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</si>
  <si>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</si>
  <si>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</si>
  <si>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</si>
  <si>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</si>
  <si>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</si>
  <si>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</si>
  <si>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</si>
  <si>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</si>
  <si>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</si>
  <si>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</si>
  <si>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</si>
  <si>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</si>
  <si>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</si>
  <si>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</si>
  <si>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</si>
  <si>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</si>
  <si>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</si>
  <si>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</si>
  <si>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</si>
  <si>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</si>
  <si>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</si>
  <si>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</si>
  <si>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</si>
  <si>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</si>
  <si>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</si>
  <si>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</si>
  <si>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</si>
  <si>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</si>
  <si>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</si>
  <si>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</si>
  <si>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</si>
  <si>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</si>
  <si>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</si>
  <si>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</si>
  <si>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</si>
  <si>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</si>
  <si>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</si>
  <si>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</si>
  <si>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</si>
  <si>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</si>
  <si>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</si>
  <si>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</si>
  <si>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</si>
  <si>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</si>
  <si>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</si>
  <si>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</si>
  <si>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</si>
  <si>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</si>
  <si>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</si>
  <si>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</si>
  <si>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</si>
  <si>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</si>
  <si>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</si>
  <si>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</si>
  <si>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</si>
  <si>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</si>
  <si>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</si>
  <si>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</si>
  <si>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</si>
  <si>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</si>
  <si>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</si>
  <si>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</si>
  <si>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</si>
  <si>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</si>
  <si>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</si>
  <si>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</si>
  <si>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</si>
  <si>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</si>
  <si>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</si>
  <si>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</si>
  <si>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</si>
  <si>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</si>
  <si>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</si>
  <si>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</si>
  <si>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</si>
  <si>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</si>
  <si>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</si>
  <si>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</si>
  <si>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</si>
  <si>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</si>
  <si>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</si>
  <si>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</si>
  <si>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</si>
  <si>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</si>
  <si>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</si>
  <si>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</si>
  <si>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</si>
  <si>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</si>
  <si>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</si>
  <si>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</si>
  <si>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</si>
  <si>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</si>
  <si>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</si>
  <si>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</si>
  <si>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</si>
  <si>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</si>
  <si>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</si>
  <si>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</si>
  <si>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</si>
  <si>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</si>
  <si>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</si>
  <si>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</si>
  <si>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</si>
  <si>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</si>
  <si>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B747</t>
  </si>
  <si>
    <t>T38</t>
  </si>
  <si>
    <t>BACJ</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</si>
  <si>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</si>
  <si>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</si>
  <si>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</si>
  <si>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</si>
  <si>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</si>
  <si>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</si>
  <si>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</si>
  <si>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</si>
  <si>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</si>
  <si>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</si>
  <si>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</si>
  <si>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</si>
  <si>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</si>
  <si>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</si>
  <si>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</si>
  <si>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</si>
  <si>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</si>
  <si>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</si>
  <si>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</si>
  <si>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</si>
  <si>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</si>
  <si>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</si>
  <si>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</si>
  <si>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</si>
  <si>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</si>
  <si>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</si>
  <si>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</si>
  <si>
    <t>Snr_Proj_v1</t>
  </si>
  <si>
    <t>SD7062</t>
  </si>
  <si>
    <t>NACA0021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</si>
</sst>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A69" zoomScale="125" workbookViewId="0">
      <selection activeCell="D85" sqref="D85"/>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207</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219</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4"/>
      <c r="B50" s="24"/>
      <c r="C50" s="25"/>
      <c r="D50" s="26"/>
    </row>
    <row r="51" spans="1:4" ht="16" x14ac:dyDescent="0.2">
      <c r="A51" s="3" t="s">
        <v>162</v>
      </c>
      <c r="B51" s="3" t="s">
        <v>44</v>
      </c>
      <c r="C51" s="4" t="s">
        <v>58</v>
      </c>
      <c r="D51" s="5" t="s">
        <v>192</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1"/>
      <c r="B71" s="21"/>
      <c r="C71" s="25"/>
      <c r="D71" s="27"/>
    </row>
    <row r="72" spans="1:4" ht="16" x14ac:dyDescent="0.2">
      <c r="A72" s="3" t="s">
        <v>191</v>
      </c>
      <c r="B72" s="3" t="str" cm="1">
        <f t="array" ref="B72:B82">TRANSPOSE([1]Propulsion!A1:K1)</f>
        <v>Config</v>
      </c>
      <c r="C72" s="4" t="s">
        <v>58</v>
      </c>
      <c r="D72" s="5" t="s">
        <v>192</v>
      </c>
    </row>
    <row r="73" spans="1:4" ht="16" x14ac:dyDescent="0.2">
      <c r="A73" s="3" t="s">
        <v>191</v>
      </c>
      <c r="B73" s="3" t="str">
        <v>PropType</v>
      </c>
      <c r="C73" s="4" t="s">
        <v>58</v>
      </c>
      <c r="D73" s="5" t="s">
        <v>193</v>
      </c>
    </row>
    <row r="74" spans="1:4" ht="16" x14ac:dyDescent="0.2">
      <c r="A74" s="3" t="s">
        <v>191</v>
      </c>
      <c r="B74" s="3" t="str">
        <v>Number</v>
      </c>
      <c r="C74" s="4" t="s">
        <v>58</v>
      </c>
      <c r="D74" s="5" t="s">
        <v>198</v>
      </c>
    </row>
    <row r="75" spans="1:4" ht="16" x14ac:dyDescent="0.2">
      <c r="A75" s="3" t="s">
        <v>191</v>
      </c>
      <c r="B75" s="3" t="str">
        <v>TA_mil_sl</v>
      </c>
      <c r="C75" s="4" t="s">
        <v>194</v>
      </c>
      <c r="D75" s="5" t="s">
        <v>199</v>
      </c>
    </row>
    <row r="76" spans="1:4" ht="16" x14ac:dyDescent="0.2">
      <c r="A76" s="3" t="s">
        <v>191</v>
      </c>
      <c r="B76" s="3" t="str">
        <v>TSFC_mil_sl</v>
      </c>
      <c r="C76" s="4" t="s">
        <v>195</v>
      </c>
      <c r="D76" s="5" t="s">
        <v>200</v>
      </c>
    </row>
    <row r="77" spans="1:4" ht="32" x14ac:dyDescent="0.2">
      <c r="A77" s="3" t="s">
        <v>191</v>
      </c>
      <c r="B77" s="3" t="str">
        <v>TA_AB_sl</v>
      </c>
      <c r="C77" s="4" t="s">
        <v>194</v>
      </c>
      <c r="D77" s="5" t="s">
        <v>202</v>
      </c>
    </row>
    <row r="78" spans="1:4" ht="32" x14ac:dyDescent="0.2">
      <c r="A78" s="3" t="s">
        <v>191</v>
      </c>
      <c r="B78" s="3" t="str">
        <v>TSFC_AB_sl</v>
      </c>
      <c r="C78" s="4" t="s">
        <v>195</v>
      </c>
      <c r="D78" s="5" t="s">
        <v>201</v>
      </c>
    </row>
    <row r="79" spans="1:4" ht="16" x14ac:dyDescent="0.2">
      <c r="A79" s="3" t="s">
        <v>191</v>
      </c>
      <c r="B79" s="3" t="str">
        <v>Install_loss</v>
      </c>
      <c r="C79" s="4" t="s">
        <v>58</v>
      </c>
      <c r="D79" s="5" t="s">
        <v>203</v>
      </c>
    </row>
    <row r="80" spans="1:4" ht="16" x14ac:dyDescent="0.2">
      <c r="A80" s="3" t="s">
        <v>191</v>
      </c>
      <c r="B80" s="3" t="str">
        <v>PA_shp_sl</v>
      </c>
      <c r="C80" s="4" t="s">
        <v>196</v>
      </c>
      <c r="D80" s="5" t="s">
        <v>204</v>
      </c>
    </row>
    <row r="81" spans="1:4" ht="16" x14ac:dyDescent="0.2">
      <c r="A81" s="3" t="s">
        <v>191</v>
      </c>
      <c r="B81" s="3" t="str">
        <v>SFC_sl</v>
      </c>
      <c r="C81" s="4" t="s">
        <v>197</v>
      </c>
      <c r="D81" s="5" t="s">
        <v>205</v>
      </c>
    </row>
    <row r="82" spans="1:4" ht="16" x14ac:dyDescent="0.2">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tabSelected="1" topLeftCell="N1" zoomScale="166" workbookViewId="0">
      <selection activeCell="D8" sqref="D8:E8"/>
    </sheetView>
  </sheetViews>
  <sheetFormatPr baseColWidth="10" defaultColWidth="8.83203125" defaultRowHeight="15" x14ac:dyDescent="0.2"/>
  <cols>
    <col min="1" max="1" width="8.83203125" style="4"/>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x14ac:dyDescent="0.2">
      <c r="A2" s="4" t="s">
        <v>180</v>
      </c>
      <c r="B2" s="4" t="s">
        <v>209</v>
      </c>
      <c r="C2" s="4">
        <v>0</v>
      </c>
      <c r="D2" s="4">
        <v>0.85</v>
      </c>
      <c r="E2" s="4">
        <v>1.6</v>
      </c>
      <c r="F2" s="4">
        <v>46.5</v>
      </c>
      <c r="G2" s="4">
        <v>4.5</v>
      </c>
      <c r="H2" s="4">
        <f t="shared" ref="H2:H8"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x14ac:dyDescent="0.2">
      <c r="A3" s="4" t="s">
        <v>213</v>
      </c>
      <c r="B3" s="4" t="s">
        <v>230</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x14ac:dyDescent="0.2">
      <c r="A4" s="4" t="s">
        <v>215</v>
      </c>
      <c r="B4" s="4" t="s">
        <v>211</v>
      </c>
      <c r="C4" s="4">
        <v>0</v>
      </c>
      <c r="D4" s="4">
        <v>0.85</v>
      </c>
      <c r="E4" s="4">
        <v>0.85</v>
      </c>
      <c r="F4" s="4">
        <v>231.83</v>
      </c>
      <c r="G4" s="4">
        <v>21.3</v>
      </c>
      <c r="H4" s="4">
        <f t="shared" si="0"/>
        <v>10.884037558685446</v>
      </c>
      <c r="I4" s="4">
        <f>PI()*(G4/2)^2</f>
        <v>356.32729275178838</v>
      </c>
      <c r="J4" s="4">
        <v>0</v>
      </c>
      <c r="K4" s="4">
        <v>13000</v>
      </c>
      <c r="L4" s="4">
        <v>1</v>
      </c>
      <c r="M4" s="4">
        <v>1</v>
      </c>
      <c r="N4" s="4">
        <v>5500</v>
      </c>
      <c r="O4" s="4">
        <f>2*N4</f>
        <v>11000</v>
      </c>
      <c r="P4" s="4">
        <v>7</v>
      </c>
      <c r="Q4" s="4">
        <v>0.25</v>
      </c>
      <c r="R4" s="4">
        <v>37.5</v>
      </c>
      <c r="S4" s="4">
        <v>30</v>
      </c>
      <c r="T4" s="4">
        <v>1.1000000000000001</v>
      </c>
      <c r="U4" s="4">
        <f>V4/2</f>
        <v>1244.3080500000001</v>
      </c>
      <c r="V4" s="4">
        <v>2488.6161000000002</v>
      </c>
      <c r="W4" s="4">
        <f>(70^2)/U4</f>
        <v>3.9379316078522515</v>
      </c>
      <c r="X4" s="4">
        <v>0.2</v>
      </c>
      <c r="Y4" s="4">
        <v>37.5</v>
      </c>
      <c r="Z4" s="4">
        <v>18.3</v>
      </c>
      <c r="AA4" s="4">
        <v>1.1000000000000001</v>
      </c>
      <c r="AB4" s="4">
        <v>0</v>
      </c>
      <c r="AC4" s="4">
        <v>0</v>
      </c>
      <c r="AD4" s="4">
        <v>0</v>
      </c>
      <c r="AE4" s="4">
        <v>0</v>
      </c>
      <c r="AF4" s="4">
        <v>0</v>
      </c>
      <c r="AG4" s="4">
        <v>0</v>
      </c>
      <c r="AH4" s="4">
        <v>0</v>
      </c>
      <c r="AI4" s="4">
        <v>908</v>
      </c>
      <c r="AJ4" s="4">
        <f>AI4*2</f>
        <v>1816</v>
      </c>
      <c r="AK4" s="4">
        <v>1.4</v>
      </c>
      <c r="AL4" s="4">
        <v>0.2</v>
      </c>
      <c r="AM4" s="4">
        <v>37.5</v>
      </c>
      <c r="AN4" s="4">
        <v>29</v>
      </c>
      <c r="AO4" s="4">
        <v>1.1000000000000001</v>
      </c>
      <c r="AP4" s="4">
        <v>0</v>
      </c>
      <c r="AQ4" s="4">
        <v>0</v>
      </c>
      <c r="AR4" s="4">
        <v>0</v>
      </c>
      <c r="AS4" s="4">
        <v>0</v>
      </c>
      <c r="AT4" s="4">
        <v>0</v>
      </c>
      <c r="AU4" s="4">
        <v>0</v>
      </c>
      <c r="AV4" s="4">
        <v>0</v>
      </c>
    </row>
    <row r="5" spans="1:48" x14ac:dyDescent="0.2">
      <c r="A5" s="4" t="s">
        <v>216</v>
      </c>
      <c r="B5" s="4" t="s">
        <v>210</v>
      </c>
      <c r="C5" s="4">
        <v>0</v>
      </c>
      <c r="D5" s="4">
        <v>0.6</v>
      </c>
      <c r="E5" s="4">
        <v>1.05</v>
      </c>
      <c r="F5" s="4">
        <v>43.08</v>
      </c>
      <c r="G5" s="4">
        <v>4.5999999999999996</v>
      </c>
      <c r="H5" s="4">
        <f t="shared" si="0"/>
        <v>9.3652173913043484</v>
      </c>
      <c r="I5" s="4">
        <v>16.600000000000001</v>
      </c>
      <c r="J5" s="4">
        <v>0</v>
      </c>
      <c r="K5" s="4">
        <v>793</v>
      </c>
      <c r="L5" s="4">
        <v>1</v>
      </c>
      <c r="M5" s="4">
        <v>2</v>
      </c>
      <c r="N5" s="4">
        <v>170</v>
      </c>
      <c r="O5" s="4">
        <f>2*170</f>
        <v>340</v>
      </c>
      <c r="P5" s="4">
        <v>3.75</v>
      </c>
      <c r="Q5" s="4">
        <v>0.2</v>
      </c>
      <c r="R5" s="4">
        <v>31.8</v>
      </c>
      <c r="S5" s="4">
        <v>24</v>
      </c>
      <c r="T5" s="4">
        <v>1.1000000000000001</v>
      </c>
      <c r="U5" s="4">
        <v>59</v>
      </c>
      <c r="V5" s="4">
        <f>2*59</f>
        <v>118</v>
      </c>
      <c r="W5" s="4">
        <v>2.82</v>
      </c>
      <c r="X5" s="4">
        <v>0.33</v>
      </c>
      <c r="Y5" s="4">
        <v>30</v>
      </c>
      <c r="Z5" s="4">
        <v>4.5999999999999996</v>
      </c>
      <c r="AA5" s="4">
        <v>1.1000000000000001</v>
      </c>
      <c r="AB5" s="4">
        <v>0</v>
      </c>
      <c r="AC5" s="4">
        <v>0</v>
      </c>
      <c r="AD5" s="4">
        <v>0</v>
      </c>
      <c r="AE5" s="4">
        <v>0</v>
      </c>
      <c r="AF5" s="4">
        <v>0</v>
      </c>
      <c r="AG5" s="4">
        <v>0</v>
      </c>
      <c r="AH5" s="4">
        <v>0</v>
      </c>
      <c r="AI5" s="4">
        <v>41.42</v>
      </c>
      <c r="AJ5" s="4">
        <f>2*AI5</f>
        <v>82.84</v>
      </c>
      <c r="AK5" s="4">
        <v>1.21</v>
      </c>
      <c r="AL5" s="4">
        <v>0.25</v>
      </c>
      <c r="AM5" s="4">
        <v>30</v>
      </c>
      <c r="AN5" s="4">
        <v>5.85</v>
      </c>
      <c r="AO5" s="4">
        <v>1.1000000000000001</v>
      </c>
      <c r="AP5" s="4">
        <v>0</v>
      </c>
      <c r="AQ5" s="4">
        <v>0</v>
      </c>
      <c r="AR5" s="4">
        <v>0</v>
      </c>
      <c r="AS5" s="4">
        <v>0</v>
      </c>
      <c r="AT5" s="4">
        <v>0</v>
      </c>
      <c r="AU5" s="4">
        <v>0</v>
      </c>
      <c r="AV5" s="4">
        <v>0</v>
      </c>
    </row>
    <row r="6" spans="1:48" x14ac:dyDescent="0.2">
      <c r="A6" s="4" t="s">
        <v>220</v>
      </c>
      <c r="B6" s="4" t="s">
        <v>240</v>
      </c>
      <c r="C6" s="4">
        <v>0</v>
      </c>
      <c r="D6" s="4">
        <v>0.18</v>
      </c>
      <c r="E6" s="4">
        <v>0.3</v>
      </c>
      <c r="F6" s="4">
        <v>27</v>
      </c>
      <c r="G6" s="4">
        <v>4</v>
      </c>
      <c r="H6" s="4">
        <f t="shared" si="0"/>
        <v>6.75</v>
      </c>
      <c r="I6" s="4">
        <v>12.56</v>
      </c>
      <c r="J6" s="4">
        <v>0</v>
      </c>
      <c r="K6" s="4">
        <v>280</v>
      </c>
      <c r="L6" s="4">
        <v>1</v>
      </c>
      <c r="M6" s="4">
        <v>1</v>
      </c>
      <c r="N6" s="4">
        <v>174</v>
      </c>
      <c r="O6" s="4">
        <v>380</v>
      </c>
      <c r="P6" s="4">
        <v>7.32</v>
      </c>
      <c r="Q6" s="4">
        <v>0.67200000000000004</v>
      </c>
      <c r="R6" s="4">
        <v>0</v>
      </c>
      <c r="S6" s="4">
        <v>0</v>
      </c>
      <c r="T6" s="4">
        <v>1.1000000000000001</v>
      </c>
      <c r="U6" s="4">
        <v>36.6</v>
      </c>
      <c r="V6" s="4">
        <v>80</v>
      </c>
      <c r="W6" s="4">
        <v>3.5</v>
      </c>
      <c r="X6" s="4">
        <v>0.56999999999999995</v>
      </c>
      <c r="Y6" s="4">
        <v>0</v>
      </c>
      <c r="Z6" s="4">
        <v>3.61</v>
      </c>
      <c r="AA6" s="4">
        <v>1.1000000000000001</v>
      </c>
      <c r="AB6" s="4">
        <v>0</v>
      </c>
      <c r="AC6" s="4">
        <v>0</v>
      </c>
      <c r="AD6" s="4">
        <v>0</v>
      </c>
      <c r="AE6" s="4">
        <v>0</v>
      </c>
      <c r="AF6" s="4">
        <v>0</v>
      </c>
      <c r="AG6" s="4">
        <v>0</v>
      </c>
      <c r="AH6" s="4">
        <v>0</v>
      </c>
      <c r="AI6" s="4">
        <v>11.2</v>
      </c>
      <c r="AJ6" s="4">
        <v>25</v>
      </c>
      <c r="AK6" s="4">
        <v>1.6</v>
      </c>
      <c r="AL6" s="4">
        <v>0.4</v>
      </c>
      <c r="AM6" s="4">
        <v>0</v>
      </c>
      <c r="AN6" s="4">
        <v>4</v>
      </c>
      <c r="AO6" s="4">
        <v>1.1000000000000001</v>
      </c>
      <c r="AP6" s="4">
        <v>0</v>
      </c>
      <c r="AQ6" s="4">
        <v>0</v>
      </c>
      <c r="AR6" s="4">
        <v>0</v>
      </c>
      <c r="AS6" s="4">
        <v>0</v>
      </c>
      <c r="AT6" s="4">
        <v>0</v>
      </c>
      <c r="AU6" s="4">
        <v>0</v>
      </c>
      <c r="AV6" s="4">
        <v>0</v>
      </c>
    </row>
    <row r="7" spans="1:48" x14ac:dyDescent="0.2">
      <c r="A7" s="4" t="s">
        <v>243</v>
      </c>
      <c r="B7" s="4" t="s">
        <v>233</v>
      </c>
      <c r="C7" s="4">
        <v>0</v>
      </c>
      <c r="D7" s="4">
        <v>0.5</v>
      </c>
      <c r="E7" s="4">
        <v>0.6</v>
      </c>
      <c r="F7" s="4">
        <v>57</v>
      </c>
      <c r="G7" s="4">
        <v>10</v>
      </c>
      <c r="H7" s="4">
        <f t="shared" si="0"/>
        <v>5.7</v>
      </c>
      <c r="I7" s="4">
        <f>PI()*(G7/2)^2</f>
        <v>78.539816339744831</v>
      </c>
      <c r="J7" s="4">
        <v>0</v>
      </c>
      <c r="K7" s="4">
        <f>2500</f>
        <v>2500</v>
      </c>
      <c r="L7" s="4">
        <v>1</v>
      </c>
      <c r="M7" s="4">
        <v>2</v>
      </c>
      <c r="N7" s="4">
        <v>301</v>
      </c>
      <c r="O7" s="4">
        <v>620</v>
      </c>
      <c r="P7" s="4">
        <v>6</v>
      </c>
      <c r="Q7" s="4">
        <v>0.9</v>
      </c>
      <c r="R7" s="4">
        <v>0</v>
      </c>
      <c r="S7" s="4">
        <v>0</v>
      </c>
      <c r="T7" s="4">
        <v>1.1000000000000001</v>
      </c>
      <c r="U7" s="4">
        <v>180</v>
      </c>
      <c r="V7" s="4">
        <v>200</v>
      </c>
      <c r="W7" s="4">
        <v>3</v>
      </c>
      <c r="X7" s="4">
        <v>0.9</v>
      </c>
      <c r="Y7" s="4">
        <v>0</v>
      </c>
      <c r="Z7" s="4">
        <v>10</v>
      </c>
      <c r="AA7" s="4">
        <v>1.1000000000000001</v>
      </c>
      <c r="AB7" s="4">
        <v>0</v>
      </c>
      <c r="AC7" s="4">
        <v>0</v>
      </c>
      <c r="AD7" s="4">
        <v>0</v>
      </c>
      <c r="AE7" s="4">
        <v>0</v>
      </c>
      <c r="AF7" s="4">
        <v>0</v>
      </c>
      <c r="AG7" s="4">
        <v>0</v>
      </c>
      <c r="AH7" s="4">
        <v>0</v>
      </c>
      <c r="AI7" s="4">
        <v>100</v>
      </c>
      <c r="AJ7" s="4">
        <v>140</v>
      </c>
      <c r="AK7" s="4">
        <v>1.2</v>
      </c>
      <c r="AL7" s="4">
        <v>0.9</v>
      </c>
      <c r="AM7" s="4">
        <v>0</v>
      </c>
      <c r="AN7" s="4">
        <v>7</v>
      </c>
      <c r="AO7" s="4">
        <v>1.1000000000000001</v>
      </c>
      <c r="AP7" s="4">
        <v>0</v>
      </c>
      <c r="AQ7" s="4">
        <v>0</v>
      </c>
      <c r="AR7" s="4">
        <v>0</v>
      </c>
      <c r="AS7" s="4">
        <v>0</v>
      </c>
      <c r="AT7" s="4">
        <v>0</v>
      </c>
      <c r="AU7" s="4">
        <v>0</v>
      </c>
      <c r="AV7" s="4">
        <v>0</v>
      </c>
    </row>
    <row r="8" spans="1:48" x14ac:dyDescent="0.2">
      <c r="A8" t="s">
        <v>245</v>
      </c>
      <c r="B8" s="4" t="s">
        <v>240</v>
      </c>
      <c r="C8" s="4">
        <v>0</v>
      </c>
      <c r="F8" s="4">
        <v>3.9470000000000001</v>
      </c>
      <c r="G8" s="4">
        <v>0.49199999999999999</v>
      </c>
      <c r="H8" s="4">
        <f t="shared" si="0"/>
        <v>8.0223577235772368</v>
      </c>
      <c r="I8" s="4">
        <f>PI()*(G8/2)^2</f>
        <v>0.19011662102463991</v>
      </c>
      <c r="J8" s="4">
        <v>0</v>
      </c>
      <c r="K8" s="4">
        <f>F8*G8</f>
        <v>1.941924</v>
      </c>
      <c r="L8" s="4">
        <v>1.1000000000000001</v>
      </c>
      <c r="M8" s="4">
        <v>2</v>
      </c>
      <c r="N8" s="4">
        <v>10.7639</v>
      </c>
      <c r="O8" s="4">
        <f>2*N8</f>
        <v>21.527799999999999</v>
      </c>
      <c r="P8" s="4">
        <v>1.64</v>
      </c>
      <c r="Q8" s="4">
        <v>0</v>
      </c>
      <c r="R8" s="4">
        <v>0</v>
      </c>
      <c r="S8" s="4">
        <v>0</v>
      </c>
      <c r="T8" s="4">
        <v>1.4</v>
      </c>
    </row>
    <row r="21" s="22"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topLeftCell="AF1" workbookViewId="0">
      <selection activeCell="AX14" sqref="AX14"/>
    </sheetView>
  </sheetViews>
  <sheetFormatPr baseColWidth="10" defaultColWidth="8.83203125" defaultRowHeight="15" x14ac:dyDescent="0.2"/>
  <cols>
    <col min="1" max="1" width="12.5" style="10" customWidth="1"/>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ht="16" x14ac:dyDescent="0.2">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ht="16" x14ac:dyDescent="0.2">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x14ac:dyDescent="0.2">
      <c r="A4" s="10" t="str">
        <f>Main_Input!A4</f>
        <v>B747</v>
      </c>
      <c r="B4" s="10" t="s">
        <v>217</v>
      </c>
      <c r="C4" s="10">
        <v>0.10100000000000001</v>
      </c>
      <c r="D4" s="10">
        <v>0.4</v>
      </c>
      <c r="E4" s="10">
        <v>-0.35049999999999998</v>
      </c>
      <c r="F4" s="10">
        <v>-0.25140000000000001</v>
      </c>
      <c r="G4" s="10">
        <v>-0.14929999999999999</v>
      </c>
      <c r="H4" s="10">
        <v>-3.1800000000000002E-2</v>
      </c>
      <c r="I4" s="10">
        <v>9.1200000000000003E-2</v>
      </c>
      <c r="J4" s="10">
        <v>0.21329999999999999</v>
      </c>
      <c r="K4" s="10">
        <v>0.30480000000000002</v>
      </c>
      <c r="L4" s="10">
        <v>0.318</v>
      </c>
      <c r="M4" s="10">
        <v>0.39250000000000002</v>
      </c>
      <c r="N4" s="10">
        <v>0.4889</v>
      </c>
      <c r="O4" s="10">
        <v>0.58550000000000002</v>
      </c>
      <c r="P4" s="10">
        <v>0.68079999999999996</v>
      </c>
      <c r="Q4" s="10">
        <v>0.77439999999999998</v>
      </c>
      <c r="R4" s="10">
        <v>0.87209999999999999</v>
      </c>
      <c r="S4" s="10">
        <v>0.97289999999999999</v>
      </c>
      <c r="T4" s="10">
        <v>1.0609999999999999</v>
      </c>
      <c r="U4" s="10">
        <v>1.1263000000000001</v>
      </c>
      <c r="V4" s="10">
        <v>0.91649999999999998</v>
      </c>
      <c r="W4" s="1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10">
        <v>5.0600000000000003E-3</v>
      </c>
      <c r="AQ4" s="10" t="s">
        <v>218</v>
      </c>
      <c r="AR4" s="10">
        <v>0.1</v>
      </c>
      <c r="AS4" s="10">
        <v>0.3</v>
      </c>
      <c r="AT4" s="10">
        <v>0</v>
      </c>
      <c r="AU4" s="10">
        <v>0</v>
      </c>
      <c r="AV4" s="10">
        <v>0</v>
      </c>
      <c r="AW4" s="10" t="s">
        <v>218</v>
      </c>
      <c r="AX4" s="10">
        <v>0.1</v>
      </c>
      <c r="AY4" s="10">
        <v>0.3</v>
      </c>
      <c r="AZ4" s="10">
        <v>0</v>
      </c>
      <c r="BA4" s="10">
        <v>0</v>
      </c>
      <c r="BB4" s="10">
        <v>0</v>
      </c>
    </row>
    <row r="5" spans="1:54" ht="16" x14ac:dyDescent="0.2">
      <c r="A5" s="10" t="str">
        <f>Main_Input!A5</f>
        <v>T38</v>
      </c>
      <c r="B5" s="10" t="s">
        <v>181</v>
      </c>
      <c r="C5" s="10">
        <v>0.04</v>
      </c>
      <c r="D5" s="10">
        <v>0.3</v>
      </c>
      <c r="E5" s="29">
        <v>-0.54879999999999995</v>
      </c>
      <c r="F5" s="29">
        <v>-0.44479999999999997</v>
      </c>
      <c r="G5" s="29">
        <v>-0.34029999999999999</v>
      </c>
      <c r="H5" s="29">
        <v>-0.23960000000000001</v>
      </c>
      <c r="I5" s="29">
        <v>-0.12509999999999999</v>
      </c>
      <c r="J5" s="10">
        <v>0</v>
      </c>
      <c r="K5" s="29">
        <v>0.12509999999999999</v>
      </c>
      <c r="L5" s="29">
        <v>0.2394</v>
      </c>
      <c r="M5" s="29">
        <v>0.34010000000000001</v>
      </c>
      <c r="N5" s="29">
        <v>0.4446</v>
      </c>
      <c r="O5" s="29">
        <v>0.54869999999999997</v>
      </c>
      <c r="P5" s="29">
        <v>0.6462</v>
      </c>
      <c r="Q5" s="29">
        <v>0.73480000000000001</v>
      </c>
      <c r="R5" s="10">
        <v>0.8</v>
      </c>
      <c r="S5" s="10">
        <v>0.93</v>
      </c>
      <c r="T5" s="29">
        <v>0.71640000000000004</v>
      </c>
      <c r="U5" s="29">
        <v>0.71740000000000004</v>
      </c>
      <c r="V5" s="10">
        <v>0.7</v>
      </c>
      <c r="W5" s="10">
        <v>0.93</v>
      </c>
      <c r="X5" s="29">
        <v>9.9399999999999992E-3</v>
      </c>
      <c r="Y5" s="29">
        <v>8.1200000000000005E-3</v>
      </c>
      <c r="Z5" s="29">
        <v>7.3699999999999998E-3</v>
      </c>
      <c r="AA5" s="29">
        <v>5.7000000000000002E-3</v>
      </c>
      <c r="AB5" s="29">
        <v>4.2599999999999999E-3</v>
      </c>
      <c r="AC5" s="29">
        <v>3.3800000000000002E-3</v>
      </c>
      <c r="AD5" s="29">
        <v>4.2599999999999999E-3</v>
      </c>
      <c r="AE5" s="29">
        <v>5.7000000000000002E-3</v>
      </c>
      <c r="AF5" s="29">
        <v>7.3699999999999998E-3</v>
      </c>
      <c r="AG5" s="29">
        <v>8.1200000000000005E-3</v>
      </c>
      <c r="AH5" s="29">
        <v>9.9600000000000001E-3</v>
      </c>
      <c r="AI5" s="29">
        <v>0.01</v>
      </c>
      <c r="AJ5" s="29">
        <v>2.034E-2</v>
      </c>
      <c r="AK5" s="11">
        <v>0.03</v>
      </c>
      <c r="AL5" s="11">
        <v>0.05</v>
      </c>
      <c r="AM5" s="29">
        <v>0.1191</v>
      </c>
      <c r="AN5" s="29">
        <v>0.12388</v>
      </c>
      <c r="AO5" s="11">
        <v>0.15</v>
      </c>
      <c r="AP5" s="29">
        <v>3.3800000000000002E-3</v>
      </c>
      <c r="AQ5" s="10" t="s">
        <v>181</v>
      </c>
      <c r="AR5" s="10">
        <v>0.04</v>
      </c>
      <c r="AS5" s="10">
        <v>0.3</v>
      </c>
      <c r="AT5" s="10">
        <v>0</v>
      </c>
      <c r="AU5" s="10">
        <v>0</v>
      </c>
      <c r="AV5" s="10">
        <v>0</v>
      </c>
      <c r="AW5" s="10" t="s">
        <v>181</v>
      </c>
      <c r="AX5" s="10">
        <v>0.04</v>
      </c>
      <c r="AY5" s="10">
        <v>0.3</v>
      </c>
      <c r="AZ5" s="10">
        <v>0</v>
      </c>
      <c r="BA5" s="10">
        <v>0</v>
      </c>
      <c r="BB5" s="10">
        <v>0</v>
      </c>
    </row>
    <row r="6" spans="1:54" ht="16" x14ac:dyDescent="0.2">
      <c r="A6" s="10" t="str">
        <f>Main_Input!A6</f>
        <v>Electric</v>
      </c>
      <c r="B6" s="10" t="s">
        <v>214</v>
      </c>
      <c r="C6" s="10">
        <v>0.12</v>
      </c>
      <c r="D6" s="10">
        <v>0.3</v>
      </c>
      <c r="E6" s="3">
        <f>-0.483</f>
        <v>-0.48299999999999998</v>
      </c>
      <c r="F6" s="29">
        <f>-0.3983</f>
        <v>-0.39829999999999999</v>
      </c>
      <c r="G6" s="29">
        <f>-0.3108</f>
        <v>-0.31080000000000002</v>
      </c>
      <c r="H6" s="29">
        <v>-0.2485</v>
      </c>
      <c r="I6" s="29">
        <v>-0.1244</v>
      </c>
      <c r="J6" s="10">
        <v>-5.8900000000000001E-2</v>
      </c>
      <c r="K6" s="29">
        <v>0.13750000000000001</v>
      </c>
      <c r="L6" s="29">
        <v>0.30249999999999999</v>
      </c>
      <c r="M6" s="29">
        <v>0.45279999999999998</v>
      </c>
      <c r="N6" s="29">
        <v>0.59899999999999998</v>
      </c>
      <c r="O6" s="29">
        <v>0.7429</v>
      </c>
      <c r="P6" s="29">
        <v>0.85670000000000002</v>
      </c>
      <c r="Q6" s="29">
        <v>0.95979999999999999</v>
      </c>
      <c r="R6" s="10">
        <v>1.0251999999999999</v>
      </c>
      <c r="S6" s="10">
        <v>1.0969</v>
      </c>
      <c r="T6" s="29">
        <v>1.1591</v>
      </c>
      <c r="U6" s="29">
        <v>1.1391</v>
      </c>
      <c r="V6" s="10">
        <v>1.0009999999999999</v>
      </c>
      <c r="W6" s="10">
        <f>1.1591</f>
        <v>1.1591</v>
      </c>
      <c r="X6" s="29">
        <v>3.1399999999999997E-2</v>
      </c>
      <c r="Y6" s="29">
        <v>2.6689999999999998E-2</v>
      </c>
      <c r="Z6" s="29">
        <v>2.6689999999999998E-2</v>
      </c>
      <c r="AA6" s="29">
        <v>2.1329999999999998E-2</v>
      </c>
      <c r="AB6" s="29">
        <v>2.1909999999999999E-2</v>
      </c>
      <c r="AC6" s="29">
        <v>2.4060000000000002E-2</v>
      </c>
      <c r="AD6" s="29">
        <v>2.81E-2</v>
      </c>
      <c r="AE6" s="29">
        <v>3.099E-2</v>
      </c>
      <c r="AF6" s="29">
        <v>3.304E-2</v>
      </c>
      <c r="AG6" s="29">
        <v>3.3750000000000002E-2</v>
      </c>
      <c r="AH6" s="29">
        <v>3.2559999999999999E-2</v>
      </c>
      <c r="AI6" s="29">
        <v>3.159E-2</v>
      </c>
      <c r="AJ6" s="29">
        <v>3.0269999999999998E-2</v>
      </c>
      <c r="AK6" s="11">
        <v>3.245E-2</v>
      </c>
      <c r="AL6" s="11">
        <v>3.9794999999999997E-2</v>
      </c>
      <c r="AM6" s="29">
        <v>4.9970000000000001E-2</v>
      </c>
      <c r="AN6" s="29">
        <v>6.5100000000000005E-2</v>
      </c>
      <c r="AO6" s="11">
        <v>9.2009999999999995E-2</v>
      </c>
      <c r="AP6" s="29">
        <v>2.1329999999999998E-2</v>
      </c>
      <c r="AQ6" s="10" t="s">
        <v>181</v>
      </c>
      <c r="AR6" s="10">
        <v>0.04</v>
      </c>
      <c r="AS6" s="10">
        <v>0.3</v>
      </c>
      <c r="AT6" s="10">
        <v>0</v>
      </c>
      <c r="AU6" s="10">
        <v>0</v>
      </c>
      <c r="AV6" s="10">
        <v>0</v>
      </c>
      <c r="AW6" s="10" t="s">
        <v>181</v>
      </c>
      <c r="AX6" s="10">
        <v>0.04</v>
      </c>
      <c r="AY6" s="10">
        <v>0.3</v>
      </c>
      <c r="AZ6" s="10">
        <v>0</v>
      </c>
      <c r="BA6" s="10">
        <v>0</v>
      </c>
      <c r="BB6" s="10">
        <v>0</v>
      </c>
    </row>
    <row r="7" spans="1:54" ht="16" x14ac:dyDescent="0.2">
      <c r="A7" s="10" t="str">
        <f>Main_Input!A7</f>
        <v>Tiltrotor Turboprop</v>
      </c>
      <c r="B7" s="10" t="s">
        <v>214</v>
      </c>
      <c r="C7" s="10">
        <v>0.12</v>
      </c>
      <c r="D7" s="10">
        <v>0.3</v>
      </c>
      <c r="E7" s="3">
        <f>-0.483</f>
        <v>-0.48299999999999998</v>
      </c>
      <c r="F7" s="29">
        <f>-0.3983</f>
        <v>-0.39829999999999999</v>
      </c>
      <c r="G7" s="29">
        <f>-0.3108</f>
        <v>-0.31080000000000002</v>
      </c>
      <c r="H7" s="29">
        <v>-0.2485</v>
      </c>
      <c r="I7" s="29">
        <v>-0.1244</v>
      </c>
      <c r="J7" s="10">
        <v>-5.8900000000000001E-2</v>
      </c>
      <c r="K7" s="29">
        <v>0.13750000000000001</v>
      </c>
      <c r="L7" s="29">
        <v>0.30249999999999999</v>
      </c>
      <c r="M7" s="29">
        <v>0.45279999999999998</v>
      </c>
      <c r="N7" s="29">
        <v>0.59899999999999998</v>
      </c>
      <c r="O7" s="29">
        <v>0.7429</v>
      </c>
      <c r="P7" s="29">
        <v>0.85670000000000002</v>
      </c>
      <c r="Q7" s="29">
        <v>0.95979999999999999</v>
      </c>
      <c r="R7" s="10">
        <v>1.0251999999999999</v>
      </c>
      <c r="S7" s="10">
        <v>1.0969</v>
      </c>
      <c r="T7" s="29">
        <v>1.1591</v>
      </c>
      <c r="U7" s="29">
        <v>1.1391</v>
      </c>
      <c r="V7" s="10">
        <v>1.0009999999999999</v>
      </c>
      <c r="W7" s="10">
        <f>1.1591</f>
        <v>1.1591</v>
      </c>
      <c r="X7" s="29">
        <v>3.1399999999999997E-2</v>
      </c>
      <c r="Y7" s="29">
        <v>2.6689999999999998E-2</v>
      </c>
      <c r="Z7" s="29">
        <v>2.6689999999999998E-2</v>
      </c>
      <c r="AA7" s="29">
        <v>2.1329999999999998E-2</v>
      </c>
      <c r="AB7" s="29">
        <v>2.1909999999999999E-2</v>
      </c>
      <c r="AC7" s="29">
        <v>2.4060000000000002E-2</v>
      </c>
      <c r="AD7" s="29">
        <v>2.81E-2</v>
      </c>
      <c r="AE7" s="29">
        <v>3.099E-2</v>
      </c>
      <c r="AF7" s="29">
        <v>3.304E-2</v>
      </c>
      <c r="AG7" s="29">
        <v>3.3750000000000002E-2</v>
      </c>
      <c r="AH7" s="29">
        <v>3.2559999999999999E-2</v>
      </c>
      <c r="AI7" s="29">
        <v>3.159E-2</v>
      </c>
      <c r="AJ7" s="29">
        <v>3.0269999999999998E-2</v>
      </c>
      <c r="AK7" s="11">
        <v>3.245E-2</v>
      </c>
      <c r="AL7" s="11">
        <v>3.9794999999999997E-2</v>
      </c>
      <c r="AM7" s="29">
        <v>4.9970000000000001E-2</v>
      </c>
      <c r="AN7" s="29">
        <v>6.5100000000000005E-2</v>
      </c>
      <c r="AO7" s="11">
        <v>9.2009999999999995E-2</v>
      </c>
      <c r="AP7" s="29">
        <v>2.1329999999999998E-2</v>
      </c>
      <c r="AQ7" s="10" t="s">
        <v>181</v>
      </c>
      <c r="AR7" s="10">
        <v>0.04</v>
      </c>
      <c r="AS7" s="10">
        <v>0.3</v>
      </c>
      <c r="AT7" s="10">
        <v>0</v>
      </c>
      <c r="AU7" s="10">
        <v>0</v>
      </c>
      <c r="AV7" s="10">
        <v>0</v>
      </c>
      <c r="AW7" s="10" t="s">
        <v>181</v>
      </c>
      <c r="AX7" s="10">
        <v>0.04</v>
      </c>
      <c r="AY7" s="10">
        <v>0.3</v>
      </c>
      <c r="AZ7" s="10">
        <v>0</v>
      </c>
      <c r="BA7" s="10">
        <v>0</v>
      </c>
      <c r="BB7" s="10">
        <v>0</v>
      </c>
    </row>
    <row r="8" spans="1:54" x14ac:dyDescent="0.2">
      <c r="A8" t="s">
        <v>245</v>
      </c>
      <c r="B8" s="10" t="s">
        <v>246</v>
      </c>
      <c r="C8" s="10">
        <v>0.14000000000000001</v>
      </c>
      <c r="D8" s="10">
        <v>0.255</v>
      </c>
      <c r="E8" s="10">
        <v>-0.1431</v>
      </c>
      <c r="F8" s="10">
        <v>-5.0000000000000001E-3</v>
      </c>
      <c r="G8" s="10">
        <v>0.10730000000000001</v>
      </c>
      <c r="H8" s="10">
        <v>0.20549999999999999</v>
      </c>
      <c r="I8" s="10">
        <v>0.29360000000000003</v>
      </c>
      <c r="J8" s="10">
        <v>0.44130000000000003</v>
      </c>
      <c r="K8" s="10">
        <v>0.55389999999999995</v>
      </c>
      <c r="L8" s="10">
        <v>0.6593</v>
      </c>
      <c r="M8" s="10">
        <v>0.76270000000000004</v>
      </c>
      <c r="N8" s="10">
        <v>0.86850000000000005</v>
      </c>
      <c r="O8" s="10">
        <v>0.97030000000000005</v>
      </c>
      <c r="P8" s="10">
        <v>1.0701000000000001</v>
      </c>
      <c r="Q8" s="10">
        <v>1.1707000000000001</v>
      </c>
      <c r="R8" s="10">
        <v>1.2575000000000001</v>
      </c>
      <c r="S8" s="10">
        <v>1.3427</v>
      </c>
      <c r="T8" s="10">
        <v>1.4209000000000001</v>
      </c>
      <c r="U8" s="10">
        <v>1.4866999999999999</v>
      </c>
      <c r="V8" s="10">
        <v>1.5385</v>
      </c>
      <c r="W8" s="10">
        <v>1.5978000000000001</v>
      </c>
      <c r="X8" s="10">
        <v>3.032E-2</v>
      </c>
      <c r="Y8" s="10">
        <v>2.435E-2</v>
      </c>
      <c r="Z8" s="10">
        <v>1.9900000000000001E-2</v>
      </c>
      <c r="AA8" s="10">
        <v>1.8790000000000001E-2</v>
      </c>
      <c r="AB8" s="10">
        <v>1.8429999999999998E-2</v>
      </c>
      <c r="AC8" s="10">
        <v>1.7649999999999999E-2</v>
      </c>
      <c r="AD8" s="10">
        <v>1.7919999999999998E-2</v>
      </c>
      <c r="AE8" s="10">
        <v>1.84E-2</v>
      </c>
      <c r="AF8" s="10">
        <v>1.9290000000000002E-2</v>
      </c>
      <c r="AG8" s="10">
        <v>2.018E-2</v>
      </c>
      <c r="AH8" s="10">
        <v>2.147E-2</v>
      </c>
      <c r="AI8" s="10">
        <v>2.2919999999999999E-2</v>
      </c>
      <c r="AJ8" s="10">
        <v>2.4580000000000001E-2</v>
      </c>
      <c r="AK8" s="10">
        <v>2.6849999999999999E-2</v>
      </c>
      <c r="AL8" s="10">
        <v>2.9309999999999999E-2</v>
      </c>
      <c r="AM8" s="10">
        <v>3.2190000000000003E-2</v>
      </c>
      <c r="AN8" s="10">
        <v>3.567E-2</v>
      </c>
      <c r="AO8" s="10">
        <v>3.9809999999999998E-2</v>
      </c>
      <c r="AP8" s="10">
        <v>1.7520000000000001E-2</v>
      </c>
      <c r="AQ8" s="10" t="s">
        <v>247</v>
      </c>
      <c r="AR8" s="10">
        <v>0.21</v>
      </c>
      <c r="AS8" s="10">
        <v>0.3</v>
      </c>
      <c r="AT8" s="10">
        <v>0</v>
      </c>
      <c r="AU8" s="10">
        <v>0</v>
      </c>
      <c r="AV8" s="10">
        <v>0</v>
      </c>
      <c r="AW8" s="10" t="s">
        <v>218</v>
      </c>
      <c r="AX8" s="10">
        <v>0.1</v>
      </c>
      <c r="AY8" s="10">
        <v>0.3</v>
      </c>
      <c r="AZ8" s="10">
        <v>0</v>
      </c>
      <c r="BA8" s="10">
        <v>0</v>
      </c>
      <c r="BB8" s="10">
        <v>0</v>
      </c>
    </row>
    <row r="21" s="23"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topLeftCell="E1" zoomScale="164" workbookViewId="0">
      <selection activeCell="H9" sqref="H9"/>
    </sheetView>
  </sheetViews>
  <sheetFormatPr baseColWidth="10" defaultColWidth="8.83203125" defaultRowHeight="15" x14ac:dyDescent="0.2"/>
  <cols>
    <col min="1" max="1" width="10.83203125" customWidth="1"/>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20" t="s">
        <v>44</v>
      </c>
      <c r="B1" s="20" t="s">
        <v>182</v>
      </c>
      <c r="C1" s="20" t="s">
        <v>164</v>
      </c>
      <c r="D1" s="18" t="s">
        <v>189</v>
      </c>
      <c r="E1" s="18" t="s">
        <v>190</v>
      </c>
      <c r="F1" s="18" t="s">
        <v>183</v>
      </c>
      <c r="G1" s="18" t="s">
        <v>184</v>
      </c>
      <c r="H1" s="18" t="s">
        <v>168</v>
      </c>
      <c r="I1" s="19" t="s">
        <v>165</v>
      </c>
      <c r="J1" s="19" t="s">
        <v>166</v>
      </c>
      <c r="K1" s="19" t="s">
        <v>167</v>
      </c>
      <c r="L1" s="19" t="s">
        <v>244</v>
      </c>
      <c r="M1" s="30" t="s">
        <v>221</v>
      </c>
      <c r="N1" s="30" t="s">
        <v>222</v>
      </c>
      <c r="O1" s="30" t="s">
        <v>223</v>
      </c>
      <c r="P1" s="30" t="s">
        <v>224</v>
      </c>
      <c r="Q1" s="30" t="s">
        <v>225</v>
      </c>
      <c r="R1" s="30" t="s">
        <v>226</v>
      </c>
    </row>
    <row r="2" spans="1:18" x14ac:dyDescent="0.2">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x14ac:dyDescent="0.2">
      <c r="A3" t="str">
        <f>Main_Input!A3</f>
        <v>C172</v>
      </c>
      <c r="B3" t="s">
        <v>227</v>
      </c>
      <c r="C3">
        <v>1</v>
      </c>
      <c r="D3">
        <v>0</v>
      </c>
      <c r="E3">
        <v>0</v>
      </c>
      <c r="F3">
        <v>0</v>
      </c>
      <c r="G3">
        <v>0</v>
      </c>
      <c r="H3">
        <v>0</v>
      </c>
      <c r="I3">
        <v>160</v>
      </c>
      <c r="J3">
        <v>0.39</v>
      </c>
      <c r="K3">
        <v>0.8</v>
      </c>
      <c r="L3">
        <v>0</v>
      </c>
      <c r="M3">
        <v>0</v>
      </c>
      <c r="N3">
        <v>0</v>
      </c>
      <c r="O3">
        <v>0</v>
      </c>
      <c r="P3">
        <v>0</v>
      </c>
      <c r="Q3">
        <v>0</v>
      </c>
      <c r="R3">
        <v>0</v>
      </c>
    </row>
    <row r="4" spans="1:18" x14ac:dyDescent="0.2">
      <c r="A4" t="str">
        <f>Main_Input!A4</f>
        <v>B747</v>
      </c>
      <c r="B4" t="s">
        <v>185</v>
      </c>
      <c r="C4">
        <v>4</v>
      </c>
      <c r="D4">
        <v>57000</v>
      </c>
      <c r="E4">
        <v>0.36799999999999999</v>
      </c>
      <c r="F4">
        <v>0</v>
      </c>
      <c r="G4">
        <v>0</v>
      </c>
      <c r="H4">
        <v>0</v>
      </c>
      <c r="I4">
        <v>0</v>
      </c>
      <c r="J4">
        <v>0</v>
      </c>
      <c r="K4">
        <v>0</v>
      </c>
      <c r="L4">
        <v>0</v>
      </c>
      <c r="M4">
        <v>0</v>
      </c>
      <c r="N4">
        <v>0</v>
      </c>
      <c r="O4">
        <v>0</v>
      </c>
      <c r="P4">
        <v>0</v>
      </c>
      <c r="Q4">
        <v>0</v>
      </c>
      <c r="R4">
        <v>0</v>
      </c>
    </row>
    <row r="5" spans="1:18" x14ac:dyDescent="0.2">
      <c r="A5" t="str">
        <f>Main_Input!A5</f>
        <v>T38</v>
      </c>
      <c r="B5" t="s">
        <v>186</v>
      </c>
      <c r="C5">
        <v>2</v>
      </c>
      <c r="D5">
        <v>2455</v>
      </c>
      <c r="E5">
        <v>1.1399999999999999</v>
      </c>
      <c r="F5">
        <v>3660</v>
      </c>
      <c r="G5">
        <v>2.64</v>
      </c>
      <c r="H5">
        <v>0.2</v>
      </c>
      <c r="I5">
        <v>0</v>
      </c>
      <c r="J5">
        <v>0</v>
      </c>
      <c r="K5">
        <v>0</v>
      </c>
      <c r="L5">
        <v>0</v>
      </c>
      <c r="M5">
        <v>0</v>
      </c>
      <c r="N5">
        <v>0</v>
      </c>
      <c r="O5">
        <v>0</v>
      </c>
      <c r="P5">
        <v>0</v>
      </c>
      <c r="Q5">
        <v>0</v>
      </c>
      <c r="R5">
        <v>0</v>
      </c>
    </row>
    <row r="6" spans="1:18" x14ac:dyDescent="0.2">
      <c r="A6" t="s">
        <v>220</v>
      </c>
      <c r="B6" t="s">
        <v>188</v>
      </c>
      <c r="C6">
        <v>1</v>
      </c>
      <c r="D6">
        <v>0</v>
      </c>
      <c r="E6">
        <v>0</v>
      </c>
      <c r="F6">
        <v>0</v>
      </c>
      <c r="G6">
        <v>0</v>
      </c>
      <c r="H6">
        <v>0</v>
      </c>
      <c r="I6">
        <v>160</v>
      </c>
      <c r="J6">
        <v>0.39</v>
      </c>
      <c r="K6">
        <v>0.8</v>
      </c>
      <c r="L6">
        <v>0</v>
      </c>
      <c r="M6">
        <v>275</v>
      </c>
      <c r="N6">
        <v>0.9</v>
      </c>
      <c r="O6">
        <v>0.9</v>
      </c>
      <c r="P6">
        <v>0.9</v>
      </c>
      <c r="Q6">
        <v>200.47499999999999</v>
      </c>
      <c r="R6">
        <v>0.93</v>
      </c>
    </row>
    <row r="7" spans="1:18" x14ac:dyDescent="0.2">
      <c r="A7" t="s">
        <v>243</v>
      </c>
      <c r="B7" t="s">
        <v>242</v>
      </c>
      <c r="C7">
        <v>2</v>
      </c>
      <c r="D7">
        <v>0</v>
      </c>
      <c r="E7">
        <v>0</v>
      </c>
      <c r="F7">
        <v>0</v>
      </c>
      <c r="G7">
        <v>0</v>
      </c>
      <c r="H7">
        <v>0</v>
      </c>
      <c r="I7">
        <v>6150</v>
      </c>
      <c r="J7">
        <v>0.42599999999999999</v>
      </c>
      <c r="K7">
        <v>0.7</v>
      </c>
      <c r="L7">
        <v>38</v>
      </c>
      <c r="M7">
        <v>0</v>
      </c>
      <c r="N7">
        <v>0</v>
      </c>
      <c r="O7">
        <v>0</v>
      </c>
      <c r="P7">
        <v>0</v>
      </c>
      <c r="Q7">
        <v>0</v>
      </c>
      <c r="R7">
        <v>0</v>
      </c>
    </row>
    <row r="8" spans="1:18" x14ac:dyDescent="0.2">
      <c r="A8" t="s">
        <v>245</v>
      </c>
      <c r="B8" t="s">
        <v>188</v>
      </c>
      <c r="C8">
        <v>1</v>
      </c>
      <c r="D8">
        <v>0</v>
      </c>
      <c r="E8">
        <v>0</v>
      </c>
      <c r="F8">
        <v>0</v>
      </c>
      <c r="G8">
        <v>0</v>
      </c>
      <c r="H8">
        <v>0</v>
      </c>
    </row>
    <row r="21" s="21"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182</v>
      </c>
      <c r="B1" t="s">
        <v>208</v>
      </c>
    </row>
    <row r="2" spans="1:2" x14ac:dyDescent="0.2">
      <c r="A2" t="s">
        <v>187</v>
      </c>
      <c r="B2" t="s">
        <v>209</v>
      </c>
    </row>
    <row r="3" spans="1:2" x14ac:dyDescent="0.2">
      <c r="A3" t="s">
        <v>188</v>
      </c>
      <c r="B3" t="s">
        <v>210</v>
      </c>
    </row>
    <row r="4" spans="1:2" x14ac:dyDescent="0.2">
      <c r="A4" t="s">
        <v>185</v>
      </c>
      <c r="B4" t="s">
        <v>211</v>
      </c>
    </row>
    <row r="5" spans="1:2" x14ac:dyDescent="0.2">
      <c r="A5" t="s">
        <v>186</v>
      </c>
      <c r="B5" t="s">
        <v>212</v>
      </c>
    </row>
    <row r="6" spans="1:2" x14ac:dyDescent="0.2">
      <c r="A6" t="s">
        <v>242</v>
      </c>
      <c r="B6" t="s">
        <v>228</v>
      </c>
    </row>
    <row r="7" spans="1:2" x14ac:dyDescent="0.2">
      <c r="A7" t="s">
        <v>227</v>
      </c>
      <c r="B7" t="s">
        <v>229</v>
      </c>
    </row>
    <row r="8" spans="1:2" x14ac:dyDescent="0.2">
      <c r="B8" s="28" t="s">
        <v>230</v>
      </c>
    </row>
    <row r="9" spans="1:2" x14ac:dyDescent="0.2">
      <c r="B9" t="s">
        <v>231</v>
      </c>
    </row>
    <row r="10" spans="1:2" x14ac:dyDescent="0.2">
      <c r="B10" s="28" t="s">
        <v>232</v>
      </c>
    </row>
    <row r="11" spans="1:2" x14ac:dyDescent="0.2">
      <c r="B11" t="s">
        <v>241</v>
      </c>
    </row>
    <row r="12" spans="1:2" x14ac:dyDescent="0.2">
      <c r="B12" s="28" t="s">
        <v>240</v>
      </c>
    </row>
    <row r="13" spans="1:2" x14ac:dyDescent="0.2">
      <c r="B13" t="s">
        <v>233</v>
      </c>
    </row>
    <row r="14" spans="1:2" x14ac:dyDescent="0.2">
      <c r="B14" t="s">
        <v>234</v>
      </c>
    </row>
    <row r="15" spans="1:2" x14ac:dyDescent="0.2">
      <c r="B15" t="s">
        <v>235</v>
      </c>
    </row>
    <row r="16" spans="1:2" x14ac:dyDescent="0.2">
      <c r="B16" t="s">
        <v>239</v>
      </c>
    </row>
    <row r="17" spans="2:2" x14ac:dyDescent="0.2">
      <c r="B17" t="s">
        <v>236</v>
      </c>
    </row>
    <row r="18" spans="2:2" x14ac:dyDescent="0.2">
      <c r="B18" t="s">
        <v>238</v>
      </c>
    </row>
    <row r="19" spans="2:2" x14ac:dyDescent="0.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Zack Wojtalik</cp:lastModifiedBy>
  <dcterms:created xsi:type="dcterms:W3CDTF">2023-12-05T19:03:00Z</dcterms:created>
  <dcterms:modified xsi:type="dcterms:W3CDTF">2026-09-09T16:01:20Z</dcterms:modified>
</cp:coreProperties>
</file>