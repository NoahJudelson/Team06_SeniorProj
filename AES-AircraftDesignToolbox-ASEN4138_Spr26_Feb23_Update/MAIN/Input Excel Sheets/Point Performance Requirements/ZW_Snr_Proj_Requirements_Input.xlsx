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AES-AircraftDesignToolbox-ASEN4138_Spr26_Feb23_Update/MAIN/Input Excel Sheets/Point Performance Requirements/"/>
    </mc:Choice>
  </mc:AlternateContent>
  <xr:revisionPtr revIDLastSave="0" documentId="13_ncr:1_{8C389C9E-8A7B-6E47-9702-230BCB5BA647}" xr6:coauthVersionLast="47" xr6:coauthVersionMax="47" xr10:uidLastSave="{00000000-0000-0000-0000-000000000000}"/>
  <bookViews>
    <workbookView xWindow="0" yWindow="4100" windowWidth="28800" windowHeight="16220" activeTab="1" xr2:uid="{AC12A90C-16A5-0547-A6DB-57534C200D25}"/>
  </bookViews>
  <sheets>
    <sheet name="Templates" sheetId="2" r:id="rId1"/>
    <sheet name="JB.V1" sheetId="10" r:id="rId2"/>
    <sheet name="C172" sheetId="3" r:id="rId3"/>
    <sheet name="B747" sheetId="6" r:id="rId4"/>
    <sheet name="TurboTil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<sst xmlns="http://schemas.openxmlformats.org/spreadsheetml/2006/main" count="347" uniqueCount="44">
  <si>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</si>
  <si>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</si>
  <si>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</si>
  <si>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</si>
  <si>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</si>
  <si>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</si>
  <si>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</si>
  <si>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</si>
  <si>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</si>
  <si>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</si>
  <si>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</si>
  <si>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</si>
  <si>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</si>
  <si>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</si>
  <si>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</si>
  <si>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</si>
  <si>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</si>
  <si>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</si>
  <si>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</si>
  <si>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</si>
  <si>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</si>
  <si>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</si>
  <si>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</si>
  <si>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</si>
  <si>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</si>
  <si>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</si>
  <si>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</si>
  <si>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</si>
  <si>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</si>
  <si>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</si>
  <si>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</si>
  <si>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</si>
  <si>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</si>
  <si>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</si>
  <si>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</si>
  <si>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</si>
  <si>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</si>
  <si>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</si>
  <si>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</si>
  <si>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</si>
  <si>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</si>
  <si>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</si>
  <si>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</si>
  <si>
    <t>Max Mach (Max Speed)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</si>
</sst>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3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" fillId="0" borderId="0" xfId="0" applyFont="1" applyBorder="1"/>
    <xf numFmtId="0" fontId="3" fillId="3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1" fillId="2" borderId="0" xfId="0" applyFont="1" applyFill="1" applyBorder="1"/>
    <xf numFmtId="0" fontId="2" fillId="0" borderId="0" xfId="0" quotePrefix="1" applyFont="1" applyBorder="1"/>
  </cellXfs>
  <cellStyles count="1">
    <cellStyle name="Normal" xfId="0" builtinId="0"/>
  </cellStyles>
  <dxfs count="7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520BC-547E-FB42-9345-C10BE812E714}" name="Table326" displayName="Table326" ref="A1:K187" totalsRowShown="0" headerRowDxfId="28" dataDxfId="27" tableBorderDxfId="26">
  <autoFilter ref="A1:K187" xr:uid="{E9D8E600-FE9F-5C45-8634-0D6DD0E667E3}"/>
  <tableColumns count="11">
    <tableColumn id="1" xr3:uid="{4E873125-B430-DF47-97E8-8718CA85A22C}" name="Requirement #" dataDxfId="25"/>
    <tableColumn id="2" xr3:uid="{F52F1F07-B543-0B47-8053-E34E2BA8895A}" name="Requirement Type" dataDxfId="24"/>
    <tableColumn id="3" xr3:uid="{FE328122-9A74-7A4B-B57D-BF029EDE1844}" name="Input 1" dataDxfId="23"/>
    <tableColumn id="4" xr3:uid="{418B51CA-8898-B442-BEE4-8304BF1CD6C0}" name="Input 2" dataDxfId="22"/>
    <tableColumn id="5" xr3:uid="{A456BF20-760C-3A48-A400-7558B03C7A73}" name="Input 3" dataDxfId="21"/>
    <tableColumn id="6" xr3:uid="{C9B3AF7B-40A5-7A4B-954F-08C72C3E8D95}" name="Input 4" dataDxfId="20"/>
    <tableColumn id="7" xr3:uid="{A6995574-966C-AA49-8F26-8C85A4851905}" name="Input 5" dataDxfId="19"/>
    <tableColumn id="8" xr3:uid="{976E4B5C-CC56-E948-9B3D-4F36230C9950}" name="Input 6" dataDxfId="18"/>
    <tableColumn id="9" xr3:uid="{D10F34FA-7944-934F-B09F-BFE9ED3EFBC2}" name="Input 7" dataDxfId="17"/>
    <tableColumn id="10" xr3:uid="{C3452EA2-25EF-274F-BAF6-358D378B7C56}" name="Input 8" dataDxfId="16"/>
    <tableColumn id="11" xr3:uid="{95D5D1CA-CE7A-B245-9964-B82D986B951F}" name="Input 9" dataDxfId="1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56" dataDxfId="55" tableBorderDxfId="54">
  <autoFilter ref="A1:K200" xr:uid="{E9D8E600-FE9F-5C45-8634-0D6DD0E667E3}"/>
  <tableColumns count="11">
    <tableColumn id="1" xr3:uid="{05E785CD-BA1A-0741-A8C1-F103F004A333}" name="Requirement #" dataDxfId="53"/>
    <tableColumn id="2" xr3:uid="{65ED0781-559E-BB4A-95BC-C03BEB6F0FD3}" name="Requirement Type" dataDxfId="52"/>
    <tableColumn id="3" xr3:uid="{A5BC6781-8D14-CA4A-8CC8-894BC40040CF}" name="Input 1" dataDxfId="51"/>
    <tableColumn id="4" xr3:uid="{426A3784-CB12-634C-B28C-1912BBEDA639}" name="Input 2" dataDxfId="50"/>
    <tableColumn id="5" xr3:uid="{6CB1F183-1B01-524E-A8C5-EFDF25C9EC6E}" name="Input 3" dataDxfId="49"/>
    <tableColumn id="6" xr3:uid="{018A88FF-960F-EE4D-AA98-1781DA96E06D}" name="Input 4" dataDxfId="48"/>
    <tableColumn id="7" xr3:uid="{DA0F16CA-219B-2C46-8309-C7D52FE83C6B}" name="Input 5" dataDxfId="47"/>
    <tableColumn id="8" xr3:uid="{9E89BB34-08B2-3641-902A-0475DC098911}" name="Input 6" dataDxfId="46"/>
    <tableColumn id="9" xr3:uid="{BC7719A6-3F10-F04A-ADE2-39707C03237F}" name="Input 7" dataDxfId="45"/>
    <tableColumn id="10" xr3:uid="{B83931B8-07AE-B044-9121-BD48FE4CFC72}" name="Input 8" dataDxfId="44"/>
    <tableColumn id="11" xr3:uid="{A1FD63F7-D5E1-E742-9C9A-DB3936B5DD1F}" name="Input 9" dataDxfId="4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42" dataDxfId="41" tableBorderDxfId="40">
  <autoFilter ref="A1:K200" xr:uid="{E9D8E600-FE9F-5C45-8634-0D6DD0E667E3}"/>
  <tableColumns count="11">
    <tableColumn id="1" xr3:uid="{79B11DD2-72B5-A244-9BA2-010F65DA0C71}" name="Requirement #" dataDxfId="39"/>
    <tableColumn id="2" xr3:uid="{A92F991A-F478-DF49-9573-45217E106A85}" name="Requirement Type" dataDxfId="38"/>
    <tableColumn id="3" xr3:uid="{426F7ACD-E846-6B45-8580-16C9BC5B34B5}" name="Input 1" dataDxfId="37"/>
    <tableColumn id="4" xr3:uid="{D8AF62F2-8523-1145-A81E-A1364337806B}" name="Input 2" dataDxfId="36"/>
    <tableColumn id="5" xr3:uid="{84BDE2D1-2330-CF41-AEE0-9F5842569747}" name="Input 3" dataDxfId="35"/>
    <tableColumn id="6" xr3:uid="{FE5DDCDE-FABD-E946-863B-C6BB28097755}" name="Input 4" dataDxfId="34"/>
    <tableColumn id="7" xr3:uid="{18A756AC-E9D0-6E49-A4DE-24B7F35F91C5}" name="Input 5" dataDxfId="33"/>
    <tableColumn id="8" xr3:uid="{21B200F8-22B2-0648-80FC-4820DECF0D5B}" name="Input 6" dataDxfId="32"/>
    <tableColumn id="9" xr3:uid="{CB23FB5A-7884-AD4D-B71C-6E6EDDBF2886}" name="Input 7" dataDxfId="31"/>
    <tableColumn id="10" xr3:uid="{40228DA8-61D6-1647-A4A3-EDA3C2FFFECB}" name="Input 8" dataDxfId="30"/>
    <tableColumn id="11" xr3:uid="{F6825A5F-3D00-6E44-B99F-13492A664278}" name="Input 9" dataDxfId="29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70" dataDxfId="69" tableBorderDxfId="68">
  <autoFilter ref="A1:K200" xr:uid="{E9D8E600-FE9F-5C45-8634-0D6DD0E667E3}"/>
  <tableColumns count="11">
    <tableColumn id="1" xr3:uid="{8E8452FB-D4CF-024D-BED9-0263227800CC}" name="Requirement #" dataDxfId="67"/>
    <tableColumn id="2" xr3:uid="{09D97C96-66EE-464A-9495-9BC41CC97CDD}" name="Requirement Type" dataDxfId="66"/>
    <tableColumn id="3" xr3:uid="{C5833324-76B6-ED46-ABE8-8C26CB8A929F}" name="Input 1" dataDxfId="65"/>
    <tableColumn id="4" xr3:uid="{516580E8-43B2-A94E-BF87-D7CABADDFD20}" name="Input 2" dataDxfId="64"/>
    <tableColumn id="5" xr3:uid="{D7E38409-68A4-2348-A254-F99A28B3D6AA}" name="Input 3" dataDxfId="63"/>
    <tableColumn id="6" xr3:uid="{0DA05089-DF15-DA46-B1A0-0DE642F3AB90}" name="Input 4" dataDxfId="62"/>
    <tableColumn id="7" xr3:uid="{2CCEF327-B870-1046-92B1-14A71A3CA901}" name="Input 5" dataDxfId="61"/>
    <tableColumn id="8" xr3:uid="{C8111718-8D74-F54C-A527-0FADE5F57B9B}" name="Input 6" dataDxfId="60"/>
    <tableColumn id="9" xr3:uid="{33F897C6-7671-8849-BBAE-D1E7CF3CB1B0}" name="Input 7" dataDxfId="59"/>
    <tableColumn id="10" xr3:uid="{91964FF9-90FD-8646-9211-E7DF64E561A3}" name="Input 8" dataDxfId="58"/>
    <tableColumn id="11" xr3:uid="{C84CDF7D-F0F0-D348-8A57-B96AD3A17DB7}" name="Input 9" dataDxfId="5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B11" sqref="B11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 x14ac:dyDescent="0.25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 x14ac:dyDescent="0.25">
      <c r="A3" s="26" t="s">
        <v>33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34</v>
      </c>
      <c r="H3" s="27" t="s">
        <v>19</v>
      </c>
      <c r="I3" s="27"/>
      <c r="J3" s="24"/>
    </row>
    <row r="4" spans="1:10" x14ac:dyDescent="0.25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 x14ac:dyDescent="0.25">
      <c r="A5" s="26" t="s">
        <v>20</v>
      </c>
      <c r="B5" s="27" t="s">
        <v>1</v>
      </c>
      <c r="C5" s="27" t="s">
        <v>15</v>
      </c>
      <c r="D5" s="27" t="s">
        <v>21</v>
      </c>
      <c r="E5" s="27" t="s">
        <v>19</v>
      </c>
      <c r="F5" s="27"/>
      <c r="G5" s="27"/>
      <c r="H5" s="27"/>
      <c r="I5" s="27"/>
      <c r="J5" s="24"/>
    </row>
    <row r="6" spans="1:10" x14ac:dyDescent="0.25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 x14ac:dyDescent="0.25">
      <c r="A7" s="28" t="s">
        <v>22</v>
      </c>
      <c r="B7" s="29" t="s">
        <v>13</v>
      </c>
      <c r="C7" s="29" t="s">
        <v>1</v>
      </c>
      <c r="D7" s="29" t="s">
        <v>23</v>
      </c>
      <c r="E7" s="29" t="s">
        <v>24</v>
      </c>
      <c r="F7" s="29" t="s">
        <v>14</v>
      </c>
      <c r="G7" s="29" t="s">
        <v>25</v>
      </c>
      <c r="H7" s="29" t="s">
        <v>26</v>
      </c>
      <c r="I7" s="29" t="s">
        <v>27</v>
      </c>
      <c r="J7" s="29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 x14ac:dyDescent="0.25">
      <c r="A9" s="28" t="s">
        <v>28</v>
      </c>
      <c r="B9" s="29" t="s">
        <v>13</v>
      </c>
      <c r="C9" s="29" t="s">
        <v>1</v>
      </c>
      <c r="D9" s="29" t="s">
        <v>23</v>
      </c>
      <c r="E9" s="29" t="s">
        <v>24</v>
      </c>
      <c r="F9" s="29" t="s">
        <v>14</v>
      </c>
      <c r="G9" s="29" t="s">
        <v>25</v>
      </c>
      <c r="H9" s="29" t="s">
        <v>26</v>
      </c>
      <c r="I9" s="29" t="s">
        <v>27</v>
      </c>
      <c r="J9" s="29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 x14ac:dyDescent="0.25">
      <c r="A11" s="28" t="s">
        <v>29</v>
      </c>
      <c r="B11" s="29" t="s">
        <v>13</v>
      </c>
      <c r="C11" s="29" t="s">
        <v>1</v>
      </c>
      <c r="D11" s="29" t="s">
        <v>23</v>
      </c>
      <c r="E11" s="29" t="s">
        <v>24</v>
      </c>
      <c r="F11" s="29" t="s">
        <v>14</v>
      </c>
      <c r="G11" s="29" t="s">
        <v>25</v>
      </c>
      <c r="H11" s="29" t="s">
        <v>26</v>
      </c>
      <c r="I11" s="29" t="s">
        <v>27</v>
      </c>
      <c r="J11" s="29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 x14ac:dyDescent="0.25">
      <c r="A13" s="28" t="s">
        <v>31</v>
      </c>
      <c r="B13" s="29" t="s">
        <v>13</v>
      </c>
      <c r="C13" s="29" t="s">
        <v>1</v>
      </c>
      <c r="D13" s="29" t="s">
        <v>23</v>
      </c>
      <c r="E13" s="29" t="s">
        <v>24</v>
      </c>
      <c r="F13" s="29" t="s">
        <v>14</v>
      </c>
      <c r="G13" s="29" t="s">
        <v>25</v>
      </c>
      <c r="H13" s="29" t="s">
        <v>26</v>
      </c>
      <c r="I13" s="29" t="s">
        <v>27</v>
      </c>
      <c r="J13" s="29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39</v>
      </c>
      <c r="B15" s="1" t="s">
        <v>13</v>
      </c>
      <c r="C15" s="1" t="s">
        <v>40</v>
      </c>
      <c r="D15" s="1" t="s">
        <v>41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4" priority="1">
      <formula>MOD(ROW(),2)=0</formula>
    </cfRule>
  </conditionalFormatting>
  <conditionalFormatting sqref="B1:J4 B7:J14">
    <cfRule type="expression" dxfId="1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E0F-8787-EE44-845F-537DCD3910B2}">
  <dimension ref="A1:K187"/>
  <sheetViews>
    <sheetView tabSelected="1" zoomScale="85" zoomScaleNormal="111" workbookViewId="0">
      <selection activeCell="J7" sqref="J7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x14ac:dyDescent="0.25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34">
        <v>1</v>
      </c>
      <c r="B2" s="35" t="s">
        <v>20</v>
      </c>
      <c r="C2" s="35" t="s">
        <v>1</v>
      </c>
      <c r="D2" s="35" t="s">
        <v>15</v>
      </c>
      <c r="E2" s="35" t="s">
        <v>21</v>
      </c>
      <c r="F2" s="35" t="s">
        <v>19</v>
      </c>
      <c r="G2" s="36"/>
      <c r="H2" s="36"/>
      <c r="I2" s="36"/>
      <c r="J2" s="36"/>
      <c r="K2" s="17"/>
    </row>
    <row r="3" spans="1:11" x14ac:dyDescent="0.25">
      <c r="A3" s="34"/>
      <c r="B3" s="37"/>
      <c r="C3" s="37">
        <v>8000</v>
      </c>
      <c r="D3" s="37">
        <v>1.5</v>
      </c>
      <c r="E3" s="37">
        <v>30.414200000000001</v>
      </c>
      <c r="F3" s="37" t="s">
        <v>20</v>
      </c>
      <c r="G3" s="36"/>
      <c r="H3" s="36"/>
      <c r="I3" s="36"/>
      <c r="J3" s="36"/>
      <c r="K3" s="17"/>
    </row>
    <row r="4" spans="1:11" x14ac:dyDescent="0.25">
      <c r="A4" s="5">
        <v>2</v>
      </c>
      <c r="B4" s="28" t="s">
        <v>31</v>
      </c>
      <c r="C4" s="29" t="s">
        <v>13</v>
      </c>
      <c r="D4" s="29" t="s">
        <v>1</v>
      </c>
      <c r="E4" s="29" t="s">
        <v>23</v>
      </c>
      <c r="F4" s="29" t="s">
        <v>24</v>
      </c>
      <c r="G4" s="29" t="s">
        <v>14</v>
      </c>
      <c r="H4" s="29" t="s">
        <v>25</v>
      </c>
      <c r="I4" s="29" t="s">
        <v>26</v>
      </c>
      <c r="J4" s="29" t="s">
        <v>27</v>
      </c>
      <c r="K4" s="29" t="s">
        <v>19</v>
      </c>
    </row>
    <row r="5" spans="1:11" x14ac:dyDescent="0.25">
      <c r="A5" s="4"/>
      <c r="B5" s="5"/>
      <c r="C5" s="3">
        <v>0.85199999999999998</v>
      </c>
      <c r="D5" s="3">
        <v>15000</v>
      </c>
      <c r="E5" s="3">
        <v>0.20810000000000001</v>
      </c>
      <c r="F5" s="3">
        <v>1</v>
      </c>
      <c r="G5" s="3" t="s">
        <v>32</v>
      </c>
      <c r="H5" s="3">
        <v>0</v>
      </c>
      <c r="I5" s="3">
        <v>0</v>
      </c>
      <c r="J5" s="3">
        <v>0.1</v>
      </c>
      <c r="K5" s="3" t="s">
        <v>43</v>
      </c>
    </row>
    <row r="6" spans="1:11" x14ac:dyDescent="0.25">
      <c r="A6" s="34">
        <v>3</v>
      </c>
      <c r="B6" s="38" t="s">
        <v>12</v>
      </c>
      <c r="C6" s="38" t="s">
        <v>13</v>
      </c>
      <c r="D6" s="38" t="s">
        <v>1</v>
      </c>
      <c r="E6" s="38" t="s">
        <v>14</v>
      </c>
      <c r="F6" s="38" t="s">
        <v>15</v>
      </c>
      <c r="G6" s="38" t="s">
        <v>0</v>
      </c>
      <c r="H6" s="38" t="s">
        <v>16</v>
      </c>
      <c r="I6" s="38" t="s">
        <v>17</v>
      </c>
      <c r="J6" s="38" t="s">
        <v>19</v>
      </c>
      <c r="K6" s="17"/>
    </row>
    <row r="7" spans="1:11" x14ac:dyDescent="0.25">
      <c r="A7" s="34"/>
      <c r="B7" s="34"/>
      <c r="C7" s="36">
        <v>0.85199999999999998</v>
      </c>
      <c r="D7" s="36">
        <v>8000</v>
      </c>
      <c r="E7" s="36" t="s">
        <v>32</v>
      </c>
      <c r="F7" s="39">
        <v>1.5</v>
      </c>
      <c r="G7" s="36">
        <v>0.2</v>
      </c>
      <c r="H7" s="36">
        <v>0.1</v>
      </c>
      <c r="I7" s="36">
        <v>400</v>
      </c>
      <c r="J7" s="36" t="s">
        <v>12</v>
      </c>
      <c r="K7" s="17"/>
    </row>
    <row r="8" spans="1:11" x14ac:dyDescent="0.25">
      <c r="A8" s="31"/>
      <c r="B8" s="32"/>
      <c r="C8" s="32"/>
      <c r="D8" s="32"/>
      <c r="E8" s="32"/>
      <c r="F8" s="32"/>
      <c r="G8" s="32"/>
      <c r="H8" s="32"/>
      <c r="I8" s="33"/>
      <c r="J8" s="32"/>
      <c r="K8" s="17"/>
    </row>
    <row r="9" spans="1:11" x14ac:dyDescent="0.25">
      <c r="A9" s="4"/>
      <c r="B9" s="3"/>
      <c r="C9" s="3"/>
      <c r="D9" s="3"/>
      <c r="E9" s="3"/>
      <c r="F9" s="3"/>
      <c r="G9" s="3"/>
      <c r="H9" s="3"/>
      <c r="I9" s="14"/>
      <c r="J9" s="3"/>
      <c r="K9" s="17"/>
    </row>
    <row r="10" spans="1:11" x14ac:dyDescent="0.25">
      <c r="A10" s="4"/>
      <c r="B10" s="3"/>
      <c r="C10" s="3"/>
      <c r="D10" s="3"/>
      <c r="E10" s="3"/>
      <c r="F10" s="3"/>
      <c r="G10" s="3"/>
      <c r="H10" s="3"/>
      <c r="I10" s="14"/>
      <c r="J10" s="3"/>
      <c r="K10" s="17"/>
    </row>
    <row r="11" spans="1:11" x14ac:dyDescent="0.25">
      <c r="A11" s="4"/>
      <c r="B11" s="3"/>
      <c r="C11" s="3"/>
      <c r="D11" s="3"/>
      <c r="E11" s="3"/>
      <c r="F11" s="3"/>
      <c r="G11" s="3"/>
      <c r="H11" s="3"/>
      <c r="I11" s="14"/>
      <c r="J11" s="3"/>
      <c r="K11" s="17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ht="19" thickBot="1" x14ac:dyDescent="0.3">
      <c r="A187" s="12"/>
      <c r="B187" s="13"/>
      <c r="C187" s="13"/>
      <c r="D187" s="13"/>
      <c r="E187" s="13"/>
      <c r="F187" s="13"/>
      <c r="G187" s="13"/>
      <c r="H187" s="13"/>
      <c r="I187" s="15"/>
      <c r="J187" s="3"/>
      <c r="K187" s="18"/>
    </row>
  </sheetData>
  <conditionalFormatting sqref="A1:B1 D1:XFD1 B8:K8 L2:XFD1048576 A9:K1048576 K6:K7 G2:K3">
    <cfRule type="expression" dxfId="12" priority="5">
      <formula>MOD(ROW(),2)=0</formula>
    </cfRule>
  </conditionalFormatting>
  <conditionalFormatting sqref="C6:J7">
    <cfRule type="expression" dxfId="11" priority="2">
      <formula>MOD(ROW(),2)=0</formula>
    </cfRule>
  </conditionalFormatting>
  <conditionalFormatting sqref="C4:K5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C8" sqref="C8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32</v>
      </c>
      <c r="F3" s="3">
        <v>2</v>
      </c>
      <c r="G3" s="3">
        <v>0.02</v>
      </c>
      <c r="H3" s="3">
        <v>0</v>
      </c>
      <c r="I3" s="14">
        <v>2000</v>
      </c>
      <c r="J3" s="3" t="s">
        <v>38</v>
      </c>
      <c r="K3" s="17"/>
    </row>
    <row r="4" spans="1:11" x14ac:dyDescent="0.25">
      <c r="A4" s="5">
        <v>2</v>
      </c>
      <c r="B4" s="21" t="s">
        <v>33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34</v>
      </c>
      <c r="I4" s="2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37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ht="19" thickBot="1" x14ac:dyDescent="0.3">
      <c r="A7" s="5"/>
      <c r="B7" s="3"/>
      <c r="C7" s="3">
        <v>0</v>
      </c>
      <c r="D7" s="3">
        <v>2</v>
      </c>
      <c r="E7" s="3">
        <v>55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ht="19" thickBot="1" x14ac:dyDescent="0.3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32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32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8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ht="19" thickBot="1" x14ac:dyDescent="0.3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32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8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ht="19" thickBot="1" x14ac:dyDescent="0.3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32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10" priority="3">
      <formula>MOD(ROW(),2)=0</formula>
    </cfRule>
  </conditionalFormatting>
  <conditionalFormatting sqref="B4:I5">
    <cfRule type="expression" dxfId="9" priority="1">
      <formula>MOD(ROW(),2)=0</formula>
    </cfRule>
  </conditionalFormatting>
  <conditionalFormatting sqref="D14">
    <cfRule type="expression" dxfId="8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3" sqref="E3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35</v>
      </c>
      <c r="K3" s="17"/>
    </row>
    <row r="4" spans="1:11" x14ac:dyDescent="0.25">
      <c r="A4" s="5">
        <v>2</v>
      </c>
      <c r="B4" s="1" t="s">
        <v>33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34</v>
      </c>
      <c r="I4" s="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36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x14ac:dyDescent="0.25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x14ac:dyDescent="0.25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1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7" priority="3">
      <formula>MOD(ROW(),2)=0</formula>
    </cfRule>
  </conditionalFormatting>
  <conditionalFormatting sqref="B5">
    <cfRule type="expression" dxfId="6" priority="2">
      <formula>MOD(ROW(),2)=0</formula>
    </cfRule>
  </conditionalFormatting>
  <conditionalFormatting sqref="D14">
    <cfRule type="expression" dxfId="5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zoomScale="75" zoomScaleNormal="111" workbookViewId="0">
      <selection activeCell="M46" sqref="M46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1" t="s">
        <v>39</v>
      </c>
      <c r="C2" s="1" t="s">
        <v>13</v>
      </c>
      <c r="D2" s="1" t="s">
        <v>40</v>
      </c>
      <c r="E2" s="1" t="s">
        <v>41</v>
      </c>
      <c r="F2" s="8" t="s">
        <v>19</v>
      </c>
      <c r="G2" s="8"/>
      <c r="H2" s="8"/>
      <c r="I2" s="8"/>
      <c r="J2" s="3"/>
      <c r="K2" s="16"/>
    </row>
    <row r="3" spans="1:11" x14ac:dyDescent="0.25">
      <c r="A3" s="5"/>
      <c r="B3" s="3"/>
      <c r="C3" s="3">
        <v>1</v>
      </c>
      <c r="D3" s="3">
        <v>5000</v>
      </c>
      <c r="E3" s="6">
        <v>10</v>
      </c>
      <c r="F3" s="3" t="s">
        <v>42</v>
      </c>
      <c r="G3" s="3"/>
      <c r="H3" s="3"/>
      <c r="I3" s="14"/>
      <c r="J3" s="3"/>
      <c r="K3" s="17"/>
    </row>
    <row r="4" spans="1:11" x14ac:dyDescent="0.25">
      <c r="A4" s="5">
        <v>3</v>
      </c>
      <c r="B4" s="1" t="s">
        <v>20</v>
      </c>
      <c r="C4" s="1" t="s">
        <v>1</v>
      </c>
      <c r="D4" s="1" t="s">
        <v>15</v>
      </c>
      <c r="E4" s="1" t="s">
        <v>21</v>
      </c>
      <c r="F4" s="3" t="s">
        <v>19</v>
      </c>
      <c r="G4" s="3"/>
      <c r="H4" s="3"/>
      <c r="I4" s="14"/>
      <c r="J4" s="3"/>
      <c r="K4" s="17"/>
    </row>
    <row r="5" spans="1:11" ht="19" thickBot="1" x14ac:dyDescent="0.3">
      <c r="A5" s="5"/>
      <c r="B5" s="3"/>
      <c r="C5" s="3">
        <v>0</v>
      </c>
      <c r="D5" s="3">
        <v>2</v>
      </c>
      <c r="E5" s="3">
        <v>160</v>
      </c>
      <c r="F5" s="3" t="s">
        <v>20</v>
      </c>
      <c r="G5" s="3"/>
      <c r="H5" s="3"/>
      <c r="I5" s="14"/>
      <c r="J5" s="3"/>
      <c r="K5" s="17"/>
    </row>
    <row r="6" spans="1:11" x14ac:dyDescent="0.25">
      <c r="A6" s="5">
        <v>4</v>
      </c>
      <c r="B6" s="1" t="s">
        <v>22</v>
      </c>
      <c r="C6" s="1" t="s">
        <v>13</v>
      </c>
      <c r="D6" s="8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19" t="s">
        <v>27</v>
      </c>
      <c r="K6" s="17" t="s">
        <v>19</v>
      </c>
    </row>
    <row r="7" spans="1:11" ht="19" thickBot="1" x14ac:dyDescent="0.3">
      <c r="A7" s="5"/>
      <c r="B7" s="3"/>
      <c r="C7" s="3">
        <v>0.85199999999999998</v>
      </c>
      <c r="D7" s="3">
        <v>22500</v>
      </c>
      <c r="E7" s="3">
        <v>0.3</v>
      </c>
      <c r="F7" s="3">
        <v>1</v>
      </c>
      <c r="G7" s="3" t="s">
        <v>18</v>
      </c>
      <c r="H7" s="3">
        <v>0</v>
      </c>
      <c r="I7" s="14">
        <v>0</v>
      </c>
      <c r="J7" s="3">
        <v>0</v>
      </c>
      <c r="K7" s="17" t="s">
        <v>22</v>
      </c>
    </row>
    <row r="8" spans="1:11" x14ac:dyDescent="0.25">
      <c r="A8" s="5">
        <v>5</v>
      </c>
      <c r="B8" s="1" t="s">
        <v>28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9" t="s">
        <v>19</v>
      </c>
    </row>
    <row r="9" spans="1:11" ht="19" thickBot="1" x14ac:dyDescent="0.3">
      <c r="A9" s="5"/>
      <c r="B9" s="3"/>
      <c r="C9" s="3">
        <v>0.85199999999999998</v>
      </c>
      <c r="D9" s="3">
        <v>20000</v>
      </c>
      <c r="E9" s="3">
        <v>0.3</v>
      </c>
      <c r="F9" s="3">
        <v>1</v>
      </c>
      <c r="G9" s="3" t="s">
        <v>18</v>
      </c>
      <c r="H9" s="3">
        <v>1.67</v>
      </c>
      <c r="I9" s="14">
        <v>0</v>
      </c>
      <c r="J9" s="3">
        <v>0</v>
      </c>
      <c r="K9" s="17" t="s">
        <v>28</v>
      </c>
    </row>
    <row r="10" spans="1:11" x14ac:dyDescent="0.25">
      <c r="A10" s="5">
        <v>6</v>
      </c>
      <c r="B10" s="1" t="s">
        <v>29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5000</v>
      </c>
      <c r="E11" s="3">
        <v>0.3</v>
      </c>
      <c r="F11" s="3">
        <v>1.5</v>
      </c>
      <c r="G11" s="3" t="s">
        <v>18</v>
      </c>
      <c r="H11" s="3">
        <v>0</v>
      </c>
      <c r="I11" s="14">
        <v>0</v>
      </c>
      <c r="J11" s="3">
        <v>0</v>
      </c>
      <c r="K11" s="17" t="s">
        <v>29</v>
      </c>
    </row>
    <row r="12" spans="1:11" x14ac:dyDescent="0.25">
      <c r="A12" s="5">
        <v>7</v>
      </c>
      <c r="B12" s="10" t="s">
        <v>31</v>
      </c>
      <c r="C12" s="10" t="s">
        <v>13</v>
      </c>
      <c r="D12" s="8" t="s">
        <v>1</v>
      </c>
      <c r="E12" s="10" t="s">
        <v>23</v>
      </c>
      <c r="F12" s="10" t="s">
        <v>24</v>
      </c>
      <c r="G12" s="10" t="s">
        <v>14</v>
      </c>
      <c r="H12" s="10" t="s">
        <v>25</v>
      </c>
      <c r="I12" s="10" t="s">
        <v>26</v>
      </c>
      <c r="J12" s="20" t="s">
        <v>27</v>
      </c>
      <c r="K12" s="11" t="s">
        <v>19</v>
      </c>
    </row>
    <row r="13" spans="1:11" ht="19" thickBot="1" x14ac:dyDescent="0.3">
      <c r="A13" s="5"/>
      <c r="B13" s="3"/>
      <c r="C13" s="3">
        <v>0.85199999999999998</v>
      </c>
      <c r="D13" s="3">
        <v>15000</v>
      </c>
      <c r="E13" s="3">
        <v>0.4</v>
      </c>
      <c r="F13" s="3">
        <v>1</v>
      </c>
      <c r="G13" s="3" t="s">
        <v>18</v>
      </c>
      <c r="H13" s="3">
        <v>0</v>
      </c>
      <c r="I13" s="14">
        <v>0</v>
      </c>
      <c r="J13" s="3">
        <v>0</v>
      </c>
      <c r="K13" s="17" t="s">
        <v>31</v>
      </c>
    </row>
    <row r="14" spans="1:11" x14ac:dyDescent="0.25">
      <c r="A14" s="5"/>
      <c r="B14" s="10"/>
      <c r="C14" s="10"/>
      <c r="D14" s="8"/>
      <c r="E14" s="10"/>
      <c r="F14" s="10"/>
      <c r="G14" s="10"/>
      <c r="H14" s="10"/>
      <c r="I14" s="10"/>
      <c r="J14" s="20"/>
      <c r="K14" s="11"/>
    </row>
    <row r="15" spans="1:11" ht="19" thickBot="1" x14ac:dyDescent="0.3">
      <c r="A15" s="5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4" priority="4">
      <formula>MOD(ROW(),2)=0</formula>
    </cfRule>
  </conditionalFormatting>
  <conditionalFormatting sqref="B4:I5">
    <cfRule type="expression" dxfId="3" priority="2">
      <formula>MOD(ROW(),2)=0</formula>
    </cfRule>
  </conditionalFormatting>
  <conditionalFormatting sqref="D12">
    <cfRule type="expression" dxfId="2" priority="1">
      <formula>MOD(ROW(),2)=0</formula>
    </cfRule>
  </conditionalFormatting>
  <conditionalFormatting sqref="D14">
    <cfRule type="expression" dxfId="1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</vt:lpstr>
      <vt:lpstr>JB.V1</vt:lpstr>
      <vt:lpstr>C172</vt:lpstr>
      <vt:lpstr>B747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2026-09-09T23:25:37Z</dcterms:modified>
</cp:coreProperties>
</file>