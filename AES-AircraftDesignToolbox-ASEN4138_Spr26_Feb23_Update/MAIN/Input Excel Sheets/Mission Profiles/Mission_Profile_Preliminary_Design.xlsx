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AES-AircraftDesignToolbox-ASEN4138_Spr26_Feb23_Update/MAIN/Input Excel Sheets/Mission Profiles/"/>
    </mc:Choice>
  </mc:AlternateContent>
  <xr:revisionPtr revIDLastSave="0" documentId="13_ncr:1_{800F6826-0036-C141-8F6E-BE7055713F41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Initial Mission Profile" sheetId="13" r:id="rId2"/>
    <sheet name="C172" sheetId="5" r:id="rId3"/>
    <sheet name="Electric C172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3" l="1"/>
  <c r="D13" i="6"/>
  <c r="D15" i="5"/>
</calcChain>
</file>

<file path=xl/sharedStrings.xml><?xml version="1.0" encoding="utf-8"?>
<sst xmlns="http://schemas.openxmlformats.org/spreadsheetml/2006/main" count="169" uniqueCount="39">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</sst>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</cellXfs>
  <cellStyles count="2">
    <cellStyle name="Currency" xfId="1" builtinId="4"/>
    <cellStyle name="Normal" xfId="0" builtinId="0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12" dataDxfId="11" tableBorderDxfId="10">
  <autoFilter ref="A1:J200" xr:uid="{9C530343-8F22-3F4B-A21B-7146C98EA73F}"/>
  <tableColumns count="10">
    <tableColumn id="1" xr3:uid="{1DCE1C02-B81F-5A42-9F8D-CD4F2F5FA0E1}" name="Segment #" dataDxfId="9"/>
    <tableColumn id="2" xr3:uid="{5BC906B8-6517-EF46-B234-4259BF6806AC}" name="Segment Type" dataDxfId="8"/>
    <tableColumn id="3" xr3:uid="{2316AD57-00CB-1E49-8500-2FF3F364AA6A}" name="Input 1" dataDxfId="7"/>
    <tableColumn id="4" xr3:uid="{7B8395BD-D411-0042-9A31-EA5C362163AA}" name="Input 2" dataDxfId="6"/>
    <tableColumn id="5" xr3:uid="{33A57DAD-EC47-2849-978C-EB31BD2A52E2}" name="Input 3" dataDxfId="5"/>
    <tableColumn id="6" xr3:uid="{0A0C4CA9-5EB2-A241-9E5D-369C3DF8DD43}" name="Input 4" dataDxfId="4"/>
    <tableColumn id="7" xr3:uid="{F74535B0-48DE-764E-BF99-0B508A958BAF}" name="Input 5" dataDxfId="3"/>
    <tableColumn id="8" xr3:uid="{E9628660-11E2-3E40-A190-AD9EAF0C192F}" name="Input 6" dataDxfId="2"/>
    <tableColumn id="9" xr3:uid="{EEA218E2-389D-1747-84AD-258E65EE195D}" name="Input 7" dataDxfId="1"/>
    <tableColumn id="10" xr3:uid="{C68BB87A-98DA-5746-906B-34304D19B708}" name="Input 8" dataDxfId="0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61" dataDxfId="60" tableBorderDxfId="59">
  <autoFilter ref="A1:J200" xr:uid="{E9D8E600-FE9F-5C45-8634-0D6DD0E667E3}"/>
  <tableColumns count="10">
    <tableColumn id="1" xr3:uid="{D23BA427-6FDC-6C46-AADC-76777DF0599D}" name="Segment #" dataDxfId="58"/>
    <tableColumn id="2" xr3:uid="{AF07C20E-012B-4A4D-9685-4B5C108A0C48}" name="Segment Type" dataDxfId="57"/>
    <tableColumn id="3" xr3:uid="{4435643B-BB1E-B147-82C8-67CCC931376A}" name="Input 1" dataDxfId="56"/>
    <tableColumn id="4" xr3:uid="{0B4DDA9A-2037-CD43-BDB5-1B7EC266CFA6}" name="Input 2" dataDxfId="55"/>
    <tableColumn id="5" xr3:uid="{86FFB808-2BA0-844B-8C45-E32051CFF226}" name="Input 3" dataDxfId="54"/>
    <tableColumn id="6" xr3:uid="{F128F1FB-77A9-344F-BFE0-756AD971F3AA}" name="Input 4" dataDxfId="53"/>
    <tableColumn id="7" xr3:uid="{FC13F1AE-660A-024C-9FD6-B2953ADD8A85}" name="Input 5" dataDxfId="52"/>
    <tableColumn id="8" xr3:uid="{3E1346B8-FB5C-6842-91DE-8C95912BEF7C}" name="Input 6" dataDxfId="51"/>
    <tableColumn id="9" xr3:uid="{C19B4E6F-21EC-B346-A54F-D52512B94A8A}" name="Input 7" dataDxfId="50"/>
    <tableColumn id="10" xr3:uid="{6524E215-8B7D-1E43-A2C0-2C1B780A18A9}" name="Input 8" dataDxfId="4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8" dataDxfId="47" tableBorderDxfId="46">
  <autoFilter ref="A1:J200" xr:uid="{E9D8E600-FE9F-5C45-8634-0D6DD0E667E3}"/>
  <tableColumns count="10">
    <tableColumn id="1" xr3:uid="{15EB4EF6-08A8-964E-ABD5-0CF3EEC0C7B7}" name="Segment #" dataDxfId="45"/>
    <tableColumn id="2" xr3:uid="{10C18371-46B8-6544-9972-D21BFA1DB0CD}" name="Segment Type" dataDxfId="44"/>
    <tableColumn id="3" xr3:uid="{526667C5-306E-7D43-B338-699328AA6680}" name="Input 1" dataDxfId="43"/>
    <tableColumn id="4" xr3:uid="{285F1D9C-6790-F049-8810-78F8A349CEA8}" name="Input 2" dataDxfId="42"/>
    <tableColumn id="5" xr3:uid="{414CB0C1-F49D-4248-9E2F-428FEB38D5DA}" name="Input 3" dataDxfId="41"/>
    <tableColumn id="6" xr3:uid="{7993028E-EBAF-D840-BAB7-8BA72340BA98}" name="Input 4" dataDxfId="40"/>
    <tableColumn id="7" xr3:uid="{6617A981-14C9-8C42-A72A-0EB397E2F530}" name="Input 5" dataDxfId="39"/>
    <tableColumn id="8" xr3:uid="{7AE9ECDF-5690-DE42-BC09-5934349F52E2}" name="Input 6" dataDxfId="38"/>
    <tableColumn id="9" xr3:uid="{D1E2BD85-064E-C746-9E9E-6DA887B3E2CA}" name="Input 7" dataDxfId="37"/>
    <tableColumn id="10" xr3:uid="{F7213638-D701-E04E-A444-9564EC9CA3EE}" name="Input 8" dataDxfId="3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topLeftCell="A4"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35" priority="1">
      <formula>MOD(ROW(),2)=0</formula>
    </cfRule>
  </conditionalFormatting>
  <conditionalFormatting sqref="B1:F12 F13:F20 B15:E20 A21:F21 B22:F23">
    <cfRule type="expression" dxfId="34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N5" sqref="N5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0</v>
      </c>
      <c r="D3" s="3">
        <v>1.4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11 H4:J7 G8:J11 F12:J19">
    <cfRule type="expression" dxfId="19" priority="5">
      <formula>MOD(ROW(),2)=0</formula>
    </cfRule>
  </conditionalFormatting>
  <conditionalFormatting sqref="B1 D1:J1">
    <cfRule type="expression" dxfId="18" priority="6">
      <formula>MOD(ROW(),2)=0</formula>
    </cfRule>
  </conditionalFormatting>
  <conditionalFormatting sqref="B12:D13">
    <cfRule type="expression" dxfId="17" priority="2">
      <formula>MOD(ROW(),2)=0</formula>
    </cfRule>
  </conditionalFormatting>
  <conditionalFormatting sqref="E12:E15">
    <cfRule type="expression" dxfId="16" priority="1">
      <formula>MOD(ROW(),2)=0</formula>
    </cfRule>
  </conditionalFormatting>
  <conditionalFormatting sqref="F4:F11">
    <cfRule type="expression" dxfId="15" priority="3">
      <formula>MOD(ROW(),2)=0</formula>
    </cfRule>
  </conditionalFormatting>
  <conditionalFormatting sqref="G4:G7">
    <cfRule type="expression" dxfId="14" priority="4">
      <formula>MOD(ROW(),2)=0</formula>
    </cfRule>
  </conditionalFormatting>
  <conditionalFormatting sqref="E20:J21 A22:J200">
    <cfRule type="expression" dxfId="13" priority="7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B16" sqref="B16:C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33" priority="7">
      <formula>MOD(ROW(),2)=0</formula>
    </cfRule>
  </conditionalFormatting>
  <conditionalFormatting sqref="B1 D1:J1">
    <cfRule type="expression" dxfId="32" priority="8">
      <formula>MOD(ROW(),2)=0</formula>
    </cfRule>
  </conditionalFormatting>
  <conditionalFormatting sqref="E14:E17">
    <cfRule type="expression" dxfId="31" priority="1">
      <formula>MOD(ROW(),2)=0</formula>
    </cfRule>
  </conditionalFormatting>
  <conditionalFormatting sqref="F4:F5">
    <cfRule type="expression" dxfId="30" priority="6">
      <formula>MOD(ROW(),2)=0</formula>
    </cfRule>
  </conditionalFormatting>
  <conditionalFormatting sqref="F10:F13">
    <cfRule type="expression" dxfId="29" priority="2">
      <formula>MOD(ROW(),2)=0</formula>
    </cfRule>
  </conditionalFormatting>
  <conditionalFormatting sqref="G6:G9">
    <cfRule type="expression" dxfId="28" priority="4">
      <formula>MOD(ROW(),2)=0</formula>
    </cfRule>
  </conditionalFormatting>
  <conditionalFormatting sqref="K1:XFD1 B2:XFD3 B4:E5 G4:XFD5 B6:F9 H6:XFD9 B10:E13 G10:XFD13 B14:D15 F14:XFD19 E20:XFD21 A22:XFD1048576">
    <cfRule type="expression" dxfId="2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2">
      <formula>MOD(ROW(),2)=0</formula>
    </cfRule>
  </conditionalFormatting>
  <conditionalFormatting sqref="E12:E15">
    <cfRule type="expression" dxfId="23" priority="1">
      <formula>MOD(ROW(),2)=0</formula>
    </cfRule>
  </conditionalFormatting>
  <conditionalFormatting sqref="F4:F11">
    <cfRule type="expression" dxfId="22" priority="3">
      <formula>MOD(ROW(),2)=0</formula>
    </cfRule>
  </conditionalFormatting>
  <conditionalFormatting sqref="G4:G7">
    <cfRule type="expression" dxfId="21" priority="5">
      <formula>MOD(ROW(),2)=0</formula>
    </cfRule>
  </conditionalFormatting>
  <conditionalFormatting sqref="K1:XFD1 E20:XFD21 A22:XFD1048576">
    <cfRule type="expression" dxfId="2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Initial Mission Profile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2026-09-09T21:02:40Z</dcterms:modified>
</cp:coreProperties>
</file>